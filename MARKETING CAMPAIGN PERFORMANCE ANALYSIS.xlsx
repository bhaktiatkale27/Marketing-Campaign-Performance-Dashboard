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0.svg" ContentType="image/sv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4423" windowHeight="8676" activeTab="3"/>
  </bookViews>
  <sheets>
    <sheet name="Raw Data" sheetId="7" r:id="rId1"/>
    <sheet name="Cleaned Data" sheetId="1" r:id="rId2"/>
    <sheet name="PivoteTables" sheetId="2" r:id="rId3"/>
    <sheet name="DashBoard" sheetId="6" r:id="rId4"/>
  </sheets>
  <definedNames>
    <definedName name="Slicer_Year_Month1">#N/A</definedName>
    <definedName name="Slicer_Channel1">#N/A</definedName>
    <definedName name="Slicer_Region">#N/A</definedName>
    <definedName name="Slicer_Channel">PivoteTables!$J$22</definedName>
    <definedName name="Slicer_Year_Month">DashBoard!$M$27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<sst xmlns="http://schemas.openxmlformats.org/spreadsheetml/2006/main" count="3093" uniqueCount="543">
  <si>
    <t>Campaign_ID</t>
  </si>
  <si>
    <t>Date</t>
  </si>
  <si>
    <t>Channel</t>
  </si>
  <si>
    <t>Region</t>
  </si>
  <si>
    <t>Budget ($)</t>
  </si>
  <si>
    <t>Spend ($)</t>
  </si>
  <si>
    <t>Impressions</t>
  </si>
  <si>
    <t>Clicks</t>
  </si>
  <si>
    <t>Conversions</t>
  </si>
  <si>
    <t>Revenue ($)</t>
  </si>
  <si>
    <t>C0001</t>
  </si>
  <si>
    <t>Google Ads</t>
  </si>
  <si>
    <t>East</t>
  </si>
  <si>
    <t>C0002</t>
  </si>
  <si>
    <t>Facebook</t>
  </si>
  <si>
    <t>South</t>
  </si>
  <si>
    <t>C0003</t>
  </si>
  <si>
    <t>North</t>
  </si>
  <si>
    <t>C0004</t>
  </si>
  <si>
    <t>Twitter</t>
  </si>
  <si>
    <t>West</t>
  </si>
  <si>
    <t>C0005</t>
  </si>
  <si>
    <t>LinkedIn</t>
  </si>
  <si>
    <t>C0006</t>
  </si>
  <si>
    <t>Instagram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</si>
  <si>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</si>
  <si>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</si>
  <si>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</si>
  <si>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</si>
  <si>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</si>
  <si>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</si>
  <si>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</si>
  <si>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</si>
  <si>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</si>
  <si>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</si>
  <si>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</si>
  <si>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</si>
  <si>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</si>
  <si>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</si>
  <si>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</si>
  <si>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</si>
  <si>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</si>
  <si>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</si>
  <si>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</si>
  <si>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</si>
  <si>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</si>
  <si>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</si>
  <si>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</si>
  <si>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</si>
  <si>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</si>
  <si>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</si>
  <si>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</si>
  <si>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</si>
  <si>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</si>
  <si>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</si>
  <si>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</si>
  <si>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</si>
  <si>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</si>
  <si>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</si>
  <si>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</si>
  <si>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</si>
  <si>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</si>
  <si>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</si>
  <si>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</si>
  <si>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</si>
  <si>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</si>
  <si>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</si>
  <si>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</si>
  <si>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</si>
  <si>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</si>
  <si>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</si>
  <si>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</si>
  <si>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</si>
  <si>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</si>
  <si>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</si>
  <si>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</si>
  <si>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</si>
  <si>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</si>
  <si>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</si>
  <si>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</si>
  <si>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</si>
  <si>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</si>
  <si>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</si>
  <si>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</si>
  <si>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</si>
  <si>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</si>
  <si>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</si>
  <si>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</si>
  <si>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</si>
  <si>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</si>
  <si>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</si>
  <si>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</si>
  <si>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</si>
  <si>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</si>
  <si>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</si>
  <si>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</si>
  <si>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</si>
  <si>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</si>
  <si>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</si>
  <si>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</si>
  <si>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</si>
  <si>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</si>
  <si>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</si>
  <si>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</si>
  <si>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</si>
  <si>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</si>
  <si>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</si>
  <si>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</si>
  <si>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</si>
  <si>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</si>
  <si>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</si>
  <si>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</si>
  <si>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</si>
  <si>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</si>
  <si>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</si>
  <si>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</si>
  <si>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</si>
  <si>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</si>
  <si>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</si>
  <si>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</si>
  <si>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</si>
  <si>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</si>
  <si>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</si>
  <si>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</si>
  <si>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</si>
  <si>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</si>
  <si>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</si>
  <si>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</si>
  <si>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</si>
  <si>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</si>
  <si>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</si>
  <si>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</si>
  <si>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</si>
  <si>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</si>
  <si>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</si>
  <si>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</si>
  <si>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</si>
  <si>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</si>
  <si>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</si>
  <si>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</si>
  <si>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</si>
  <si>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</si>
  <si>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</si>
  <si>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</si>
  <si>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</si>
  <si>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</si>
  <si>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</si>
  <si>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</si>
  <si>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</si>
  <si>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</si>
  <si>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</si>
  <si>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</si>
  <si>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</si>
  <si>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</si>
  <si>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</si>
  <si>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</si>
  <si>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</si>
  <si>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</si>
  <si>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</si>
  <si>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</si>
  <si>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</si>
  <si>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</si>
  <si>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</si>
  <si>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</si>
  <si>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</si>
  <si>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</si>
  <si>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</si>
  <si>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</si>
  <si>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</si>
  <si>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</si>
  <si>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</si>
  <si>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</si>
  <si>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</si>
  <si>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</si>
  <si>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</si>
  <si>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</si>
  <si>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</si>
  <si>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</si>
  <si>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</si>
  <si>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</si>
  <si>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</si>
  <si>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</si>
  <si>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</si>
  <si>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</si>
  <si>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</si>
  <si>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</si>
  <si>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</si>
  <si>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</si>
  <si>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</si>
  <si>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</si>
  <si>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</si>
  <si>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</si>
  <si>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</si>
  <si>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</si>
  <si>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</si>
  <si>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</si>
  <si>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</si>
  <si>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</si>
  <si>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</si>
  <si>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</si>
  <si>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</si>
  <si>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</si>
  <si>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</si>
  <si>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</si>
  <si>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</si>
  <si>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</si>
  <si>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</si>
  <si>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</si>
  <si>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</si>
  <si>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</si>
  <si>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</si>
  <si>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</si>
  <si>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</si>
  <si>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</si>
  <si>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</si>
  <si>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</si>
  <si>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</si>
  <si>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</si>
  <si>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</si>
  <si>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</si>
  <si>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</si>
  <si>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</si>
  <si>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</si>
  <si>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</si>
  <si>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</si>
  <si>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</si>
  <si>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</si>
  <si>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</si>
  <si>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</si>
  <si>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</si>
  <si>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</si>
  <si>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</si>
  <si>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</si>
  <si>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</si>
  <si>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</si>
  <si>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</si>
  <si>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</si>
  <si>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</si>
  <si>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</si>
  <si>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</si>
  <si>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</si>
  <si>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</si>
  <si>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</si>
  <si>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</si>
  <si>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</si>
  <si>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</si>
  <si>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</si>
  <si>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</si>
  <si>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</si>
  <si>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</si>
  <si>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</si>
  <si>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</si>
  <si>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</si>
  <si>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</si>
  <si>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</si>
  <si>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</si>
  <si>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</si>
  <si>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</si>
  <si>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</si>
  <si>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</si>
  <si>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</si>
  <si>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</si>
  <si>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</si>
  <si>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</si>
  <si>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</si>
  <si>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</si>
  <si>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</si>
  <si>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</si>
  <si>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</si>
  <si>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</si>
  <si>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</si>
  <si>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</si>
  <si>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</si>
  <si>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</si>
  <si>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</si>
  <si>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</si>
  <si>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</si>
  <si>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</si>
  <si>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</si>
  <si>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</si>
  <si>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</si>
  <si>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</si>
  <si>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</si>
  <si>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</si>
  <si>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</si>
  <si>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</si>
  <si>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</si>
  <si>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</si>
  <si>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</si>
  <si>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</si>
  <si>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</si>
  <si>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</si>
  <si>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</si>
  <si>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</si>
  <si>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</si>
  <si>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</si>
  <si>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</si>
  <si>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</si>
  <si>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</si>
  <si>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</si>
  <si>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</si>
  <si>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</si>
  <si>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</si>
  <si>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</si>
  <si>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</si>
  <si>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</si>
  <si>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</si>
  <si>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</si>
  <si>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</si>
  <si>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</si>
  <si>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</si>
  <si>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</si>
  <si>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</si>
  <si>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</si>
  <si>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</si>
  <si>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</si>
  <si>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</si>
  <si>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</si>
  <si>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</si>
  <si>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</si>
  <si>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</si>
  <si>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</si>
  <si>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</si>
  <si>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</si>
  <si>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</si>
  <si>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</si>
  <si>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</si>
  <si>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</si>
  <si>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</si>
  <si>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</si>
  <si>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</si>
  <si>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</si>
  <si>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</si>
  <si>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</si>
  <si>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</si>
  <si>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</si>
  <si>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</si>
  <si>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</si>
  <si>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</si>
  <si>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</si>
  <si>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</si>
  <si>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</si>
  <si>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</si>
  <si>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</si>
  <si>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</si>
  <si>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</si>
  <si>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</si>
  <si>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</si>
  <si>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</si>
  <si>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</si>
  <si>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</si>
  <si>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</si>
  <si>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</si>
  <si>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</si>
  <si>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</si>
  <si>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</si>
  <si>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</si>
  <si>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</si>
  <si>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</si>
  <si>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</si>
  <si>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</si>
  <si>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</si>
  <si>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</si>
  <si>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</si>
  <si>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</si>
  <si>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</si>
  <si>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</si>
  <si>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</si>
  <si>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</si>
  <si>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</si>
  <si>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</si>
  <si>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</si>
  <si>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</si>
  <si>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</si>
  <si>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</si>
  <si>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</si>
  <si>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</si>
  <si>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</si>
  <si>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</si>
  <si>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</si>
  <si>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</si>
  <si>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</si>
  <si>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</si>
  <si>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</si>
  <si>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</si>
  <si>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</si>
  <si>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</si>
  <si>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</si>
  <si>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</si>
  <si>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</si>
  <si>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</si>
  <si>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</si>
  <si>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</si>
  <si>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</si>
  <si>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</si>
  <si>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</si>
  <si>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</si>
  <si>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</si>
  <si>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</si>
  <si>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</si>
  <si>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</si>
  <si>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</si>
  <si>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</si>
  <si>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</si>
  <si>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</si>
  <si>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</si>
  <si>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</si>
  <si>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</si>
  <si>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</si>
  <si>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</si>
  <si>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</si>
  <si>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</si>
  <si>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</si>
  <si>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</si>
  <si>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</si>
  <si>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</si>
  <si>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</si>
  <si>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</si>
  <si>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</si>
  <si>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</si>
  <si>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</si>
  <si>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</si>
  <si>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</si>
  <si>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</si>
  <si>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</si>
  <si>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</si>
  <si>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</si>
  <si>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</si>
  <si>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</si>
  <si>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</si>
  <si>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</si>
  <si>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</si>
  <si>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</si>
  <si>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</si>
  <si>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</si>
  <si>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</si>
  <si>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</si>
  <si>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</si>
  <si>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</si>
  <si>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</si>
  <si>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</si>
  <si>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</si>
  <si>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</si>
  <si>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</si>
  <si>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</si>
  <si>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</si>
  <si>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</si>
  <si>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</si>
  <si>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</si>
  <si>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</si>
  <si>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</si>
  <si>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</si>
  <si>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</si>
  <si>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</si>
  <si>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</si>
  <si>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</si>
  <si>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</si>
  <si>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</si>
  <si>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</si>
  <si>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</si>
  <si>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</si>
  <si>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</si>
  <si>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</si>
  <si>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</si>
  <si>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</si>
  <si>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</si>
  <si>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</si>
  <si>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</si>
  <si>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</si>
  <si>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</si>
  <si>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</si>
  <si>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</si>
  <si>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</si>
  <si>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</si>
  <si>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</si>
  <si>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</si>
  <si>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</si>
  <si>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</si>
  <si>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</si>
  <si>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</si>
  <si>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</si>
  <si>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</si>
  <si>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</si>
  <si>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</si>
  <si>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</si>
  <si>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</si>
  <si>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</si>
  <si>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</si>
  <si>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</si>
  <si>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</si>
  <si>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</si>
  <si>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</si>
  <si>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</si>
  <si>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</si>
  <si>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</si>
  <si>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</si>
  <si>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</si>
  <si>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</si>
  <si>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</si>
  <si>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</si>
  <si>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</si>
  <si>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</si>
  <si>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</si>
  <si>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</si>
  <si>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</si>
  <si>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</si>
  <si>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</si>
  <si>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</si>
  <si>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</si>
  <si>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</si>
  <si>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</si>
  <si>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</si>
  <si>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</si>
  <si>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</si>
  <si>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</si>
  <si>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</si>
  <si>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</si>
  <si>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</si>
  <si>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</si>
  <si>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CTR</t>
  </si>
  <si>
    <t>CPC</t>
  </si>
  <si>
    <t>CPA</t>
  </si>
  <si>
    <t>ROAS</t>
  </si>
  <si>
    <t>Profit</t>
  </si>
  <si>
    <t>Profit Margin %</t>
  </si>
  <si>
    <t>Year-Month</t>
  </si>
  <si>
    <t>Sum of Spend ($)</t>
  </si>
  <si>
    <t>Sum of Revenue ($)</t>
  </si>
  <si>
    <t>Sum of Profit</t>
  </si>
  <si>
    <t>Sum of Conversions</t>
  </si>
  <si>
    <t>Sum of ROAS</t>
  </si>
  <si>
    <t>Row Labels</t>
  </si>
  <si>
    <t>Sum of Budget ($)</t>
  </si>
  <si>
    <t>Grand Total</t>
  </si>
  <si>
    <t>Sum of Impressions</t>
  </si>
  <si>
    <t>Sum of Clicks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</si>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</sst>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85961485641"/>
        <bgColor theme="4" tint="0.799859614856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853511154515"/>
      </bottom>
      <diagonal/>
    </border>
    <border>
      <left/>
      <right/>
      <top style="thin">
        <color theme="4" tint="0.39985351115451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177" fontId="0" fillId="0" borderId="0" xfId="0" applyNumberFormat="1"/>
    <xf numFmtId="3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180" fontId="0" fillId="0" borderId="0" xfId="0" applyNumberFormat="1"/>
    <xf numFmtId="0" fontId="1" fillId="0" borderId="3" xfId="0" applyFont="1" applyBorder="1" applyAlignment="1">
      <alignment horizontal="center" vertical="top"/>
    </xf>
    <xf numFmtId="180" fontId="1" fillId="0" borderId="3" xfId="0" applyNumberFormat="1" applyFont="1" applyBorder="1" applyAlignment="1">
      <alignment horizontal="center" vertical="top"/>
    </xf>
    <xf numFmtId="4" fontId="1" fillId="0" borderId="3" xfId="0" applyNumberFormat="1" applyFont="1" applyBorder="1" applyAlignment="1">
      <alignment horizontal="center" vertical="top"/>
    </xf>
    <xf numFmtId="3" fontId="1" fillId="0" borderId="3" xfId="0" applyNumberFormat="1" applyFont="1" applyBorder="1" applyAlignment="1">
      <alignment horizontal="center" vertical="top"/>
    </xf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177" formatCode="_ &quot;₹&quot;* #,##0.00_ ;_ &quot;₹&quot;* \-#,##0.00_ ;_ &quot;₹&quot;* &quot;-&quot;??_ ;_ @_ "/>
    </dxf>
    <dxf>
      <numFmt numFmtId="177" formatCode="_ &quot;₹&quot;* #,##0.00_ ;_ &quot;₹&quot;* \-#,##0.00_ ;_ &quot;₹&quot;* &quot;-&quot;??_ ;_ @_ "/>
    </dxf>
    <dxf>
      <numFmt numFmtId="177" formatCode="_ &quot;₹&quot;* #,##0.00_ ;_ &quot;₹&quot;* \-#,##0.00_ ;_ &quot;₹&quot;* &quot;-&quot;??_ ;_ @_ "/>
    </dxf>
    <dxf>
      <numFmt numFmtId="177" formatCode="_ &quot;₹&quot;* #,##0.00_ ;_ &quot;₹&quot;* \-#,##0.00_ ;_ &quot;₹&quot;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[MARKETING CAMPAIGN PERFORMANCE ANALYSIS.xlsx]PivoteTables!PivotTable3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Spend vs Revenue Over Time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PivoteTables!$C$20</c:f>
              <c:strCache>
                <c:ptCount val="1"/>
                <c:pt idx="0">
                  <c:v>Sum of Spend ($)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PivoteTables!$B$21:$B$28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PivoteTables!$C$21:$C$28</c:f>
              <c:numCache>
                <c:formatCode>General</c:formatCode>
                <c:ptCount val="7"/>
                <c:pt idx="0">
                  <c:v>387223.67</c:v>
                </c:pt>
                <c:pt idx="1">
                  <c:v>451320.34</c:v>
                </c:pt>
                <c:pt idx="2">
                  <c:v>519247.21</c:v>
                </c:pt>
                <c:pt idx="3">
                  <c:v>437450.39</c:v>
                </c:pt>
                <c:pt idx="4">
                  <c:v>649014.28</c:v>
                </c:pt>
                <c:pt idx="5">
                  <c:v>558132.99</c:v>
                </c:pt>
                <c:pt idx="6">
                  <c:v>130119.31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PivoteTables!$D$20</c:f>
              <c:strCache>
                <c:ptCount val="1"/>
                <c:pt idx="0">
                  <c:v>Sum of Revenue ($)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PivoteTables!$B$21:$B$28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PivoteTables!$D$21:$D$28</c:f>
              <c:numCache>
                <c:formatCode>General</c:formatCode>
                <c:ptCount val="7"/>
                <c:pt idx="0">
                  <c:v>669060.35</c:v>
                </c:pt>
                <c:pt idx="1">
                  <c:v>1049410.8</c:v>
                </c:pt>
                <c:pt idx="2">
                  <c:v>1178268.76</c:v>
                </c:pt>
                <c:pt idx="3">
                  <c:v>941547.01</c:v>
                </c:pt>
                <c:pt idx="4">
                  <c:v>1226839</c:v>
                </c:pt>
                <c:pt idx="5">
                  <c:v>1149303.78</c:v>
                </c:pt>
                <c:pt idx="6">
                  <c:v>338518.38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469984"/>
        <c:axId val="1832647728"/>
      </c:lineChart>
      <c:catAx>
        <c:axId val="161146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2647728"/>
        <c:crosses val="autoZero"/>
        <c:auto val="1"/>
        <c:lblAlgn val="ctr"/>
        <c:lblOffset val="100"/>
        <c:noMultiLvlLbl val="0"/>
      </c:catAx>
      <c:valAx>
        <c:axId val="183264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146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8a8bfa-ca45-48bd-96bb-ee4b9b4b71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[MARKETING CAMPAIGN PERFORMANCE ANALYSIS.xlsx]PivoteTables!PivotTable4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Channel-wise ROAS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0712186241325"/>
          <c:y val="0.09348783717358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PivoteTables!$C$30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PivoteTables!$B$31:$B$36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PivoteTables!$C$31:$C$36</c:f>
              <c:numCache>
                <c:formatCode>General</c:formatCode>
                <c:ptCount val="5"/>
                <c:pt idx="0">
                  <c:v>231.413629061606</c:v>
                </c:pt>
                <c:pt idx="1">
                  <c:v>243.320249756956</c:v>
                </c:pt>
                <c:pt idx="2">
                  <c:v>247.527185897844</c:v>
                </c:pt>
                <c:pt idx="3">
                  <c:v>244.496519526852</c:v>
                </c:pt>
                <c:pt idx="4">
                  <c:v>215.530752595349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1248992"/>
        <c:axId val="831254272"/>
      </c:barChart>
      <c:catAx>
        <c:axId val="831248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1254272"/>
        <c:crosses val="autoZero"/>
        <c:auto val="1"/>
        <c:lblAlgn val="ctr"/>
        <c:lblOffset val="100"/>
        <c:noMultiLvlLbl val="0"/>
      </c:catAx>
      <c:valAx>
        <c:axId val="8312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124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b5079f-f6ef-4cde-8095-788b77a8e8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[MARKETING CAMPAIGN PERFORMANCE ANALYSIS.xlsx]PivoteTables!PivotTable5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Region-wise Conversions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PivoteTables!$C$38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PivoteTables!$B$39:$B$43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PivoteTables!$C$39:$C$43</c:f>
              <c:numCache>
                <c:formatCode>General</c:formatCode>
                <c:ptCount val="4"/>
                <c:pt idx="0">
                  <c:v>41460</c:v>
                </c:pt>
                <c:pt idx="1">
                  <c:v>46771</c:v>
                </c:pt>
                <c:pt idx="2">
                  <c:v>47588</c:v>
                </c:pt>
                <c:pt idx="3">
                  <c:v>48707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3465280"/>
        <c:axId val="843465760"/>
      </c:barChart>
      <c:catAx>
        <c:axId val="84346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43465760"/>
        <c:crosses val="autoZero"/>
        <c:auto val="1"/>
        <c:lblAlgn val="ctr"/>
        <c:lblOffset val="100"/>
        <c:noMultiLvlLbl val="0"/>
      </c:catAx>
      <c:valAx>
        <c:axId val="84346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434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6506e2e-1d99-410e-a246-faf0440b3f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[MARKETING CAMPAIGN PERFORMANCE ANALYSIS.xlsx]PivoteTables!PivotTable6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Budget Allocation by Channel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PivoteTables!$J$3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PivoteTables!$I$4:$I$9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PivoteTables!$J$4:$J$9</c:f>
              <c:numCache>
                <c:formatCode>General</c:formatCode>
                <c:ptCount val="5"/>
                <c:pt idx="0">
                  <c:v>609756.67</c:v>
                </c:pt>
                <c:pt idx="1">
                  <c:v>658766.93</c:v>
                </c:pt>
                <c:pt idx="2">
                  <c:v>655972.1</c:v>
                </c:pt>
                <c:pt idx="3">
                  <c:v>689111.07</c:v>
                </c:pt>
                <c:pt idx="4">
                  <c:v>698066.24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ee083d-58c7-45e2-a689-2cbd664fdd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[MARKETING CAMPAIGN PERFORMANCE ANALYSIS.xlsx]PivoteTables!PivotTable7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Campaign Performance by Channel</a:t>
            </a:r>
            <a:endParaRPr lang="en-IN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PivoteTables!$J$13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PivoteTables!$I$14:$I$19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PivoteTables!$J$14:$J$19</c:f>
              <c:numCache>
                <c:formatCode>#,##0</c:formatCode>
                <c:ptCount val="5"/>
                <c:pt idx="0">
                  <c:v>11485286</c:v>
                </c:pt>
                <c:pt idx="1">
                  <c:v>12675605</c:v>
                </c:pt>
                <c:pt idx="2">
                  <c:v>12523498</c:v>
                </c:pt>
                <c:pt idx="3">
                  <c:v>12963171</c:v>
                </c:pt>
                <c:pt idx="4">
                  <c:v>12738507</c:v>
                </c:pt>
              </c:numCache>
            </c:numRef>
          </c:val>
        </c:ser>
        <c:ser>
          <c:idx val="1"/>
          <c:order val="1"/>
          <c:tx>
            <c:strRef>
              <c:f>PivoteTables!$K$13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PivoteTables!$I$14:$I$19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PivoteTables!$K$14:$K$19</c:f>
              <c:numCache>
                <c:formatCode>#,##0</c:formatCode>
                <c:ptCount val="5"/>
                <c:pt idx="0">
                  <c:v>364158</c:v>
                </c:pt>
                <c:pt idx="1">
                  <c:v>372405</c:v>
                </c:pt>
                <c:pt idx="2">
                  <c:v>355886</c:v>
                </c:pt>
                <c:pt idx="3">
                  <c:v>367535</c:v>
                </c:pt>
                <c:pt idx="4">
                  <c:v>354137</c:v>
                </c:pt>
              </c:numCache>
            </c:numRef>
          </c:val>
        </c:ser>
        <c:ser>
          <c:idx val="2"/>
          <c:order val="2"/>
          <c:tx>
            <c:strRef>
              <c:f>PivoteTables!$L$13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PivoteTables!$I$14:$I$19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PivoteTables!$L$14:$L$19</c:f>
              <c:numCache>
                <c:formatCode>#,##0</c:formatCode>
                <c:ptCount val="5"/>
                <c:pt idx="0">
                  <c:v>35462</c:v>
                </c:pt>
                <c:pt idx="1">
                  <c:v>38479</c:v>
                </c:pt>
                <c:pt idx="2">
                  <c:v>39603</c:v>
                </c:pt>
                <c:pt idx="3">
                  <c:v>36570</c:v>
                </c:pt>
                <c:pt idx="4">
                  <c:v>34412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534352"/>
        <c:axId val="1538532912"/>
      </c:barChart>
      <c:catAx>
        <c:axId val="153853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8532912"/>
        <c:crosses val="autoZero"/>
        <c:auto val="1"/>
        <c:lblAlgn val="ctr"/>
        <c:lblOffset val="100"/>
        <c:noMultiLvlLbl val="0"/>
      </c:catAx>
      <c:valAx>
        <c:axId val="15385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853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a86a78-4921-4d04-b2d1-d2bc975f6a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svg"/><Relationship Id="rId8" Type="http://schemas.openxmlformats.org/officeDocument/2006/relationships/image" Target="../media/image3.png"/><Relationship Id="rId7" Type="http://schemas.openxmlformats.org/officeDocument/2006/relationships/image" Target="../media/image2.svg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5" Type="http://schemas.openxmlformats.org/officeDocument/2006/relationships/image" Target="../media/image10.svg"/><Relationship Id="rId14" Type="http://schemas.openxmlformats.org/officeDocument/2006/relationships/image" Target="../media/image9.png"/><Relationship Id="rId13" Type="http://schemas.openxmlformats.org/officeDocument/2006/relationships/image" Target="../media/image8.svg"/><Relationship Id="rId12" Type="http://schemas.openxmlformats.org/officeDocument/2006/relationships/image" Target="../media/image7.png"/><Relationship Id="rId11" Type="http://schemas.openxmlformats.org/officeDocument/2006/relationships/image" Target="../media/image6.svg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76200</xdr:colOff>
      <xdr:row>19</xdr:row>
      <xdr:rowOff>60961</xdr:rowOff>
    </xdr:from>
    <xdr:to>
      <xdr:col>6</xdr:col>
      <xdr:colOff>647700</xdr:colOff>
      <xdr:row>28</xdr:row>
      <xdr:rowOff>175261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9640" y="3535680"/>
              <a:ext cx="1798320" cy="1760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723900</xdr:colOff>
      <xdr:row>21</xdr:row>
      <xdr:rowOff>15241</xdr:rowOff>
    </xdr:from>
    <xdr:to>
      <xdr:col>9</xdr:col>
      <xdr:colOff>190500</xdr:colOff>
      <xdr:row>31</xdr:row>
      <xdr:rowOff>99061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Year-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-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4160" y="3855720"/>
              <a:ext cx="1828800" cy="1912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510540</xdr:colOff>
      <xdr:row>20</xdr:row>
      <xdr:rowOff>152401</xdr:rowOff>
    </xdr:from>
    <xdr:to>
      <xdr:col>11</xdr:col>
      <xdr:colOff>190500</xdr:colOff>
      <xdr:row>29</xdr:row>
      <xdr:rowOff>15241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63000" y="3810000"/>
              <a:ext cx="1828800" cy="1508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472632</xdr:colOff>
      <xdr:row>3</xdr:row>
      <xdr:rowOff>156575</xdr:rowOff>
    </xdr:to>
    <xdr:sp>
      <xdr:nvSpPr>
        <xdr:cNvPr id="3" name="Text Box 2"/>
        <xdr:cNvSpPr txBox="1"/>
      </xdr:nvSpPr>
      <xdr:spPr>
        <a:xfrm>
          <a:off x="0" y="0"/>
          <a:ext cx="18333720" cy="704850"/>
        </a:xfrm>
        <a:prstGeom prst="rect">
          <a:avLst/>
        </a:prstGeom>
      </xdr:spPr>
      <xdr:style>
        <a:lnRef idx="0">
          <a:srgbClr val="FFFFFF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1100"/>
            <a:t>   </a:t>
          </a:r>
          <a:r>
            <a:rPr lang="en-US" sz="2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MARKETING CAMPAIGN PERFORMANCE DASHBOARD </a:t>
          </a:r>
          <a:r>
            <a:rPr lang="en-US" sz="1100"/>
            <a:t>   </a:t>
          </a:r>
          <a:endParaRPr lang="en-US" sz="1100"/>
        </a:p>
      </xdr:txBody>
    </xdr:sp>
    <xdr:clientData/>
  </xdr:twoCellAnchor>
  <xdr:twoCellAnchor>
    <xdr:from>
      <xdr:col>0</xdr:col>
      <xdr:colOff>0</xdr:colOff>
      <xdr:row>4</xdr:row>
      <xdr:rowOff>9770</xdr:rowOff>
    </xdr:from>
    <xdr:to>
      <xdr:col>2</xdr:col>
      <xdr:colOff>587829</xdr:colOff>
      <xdr:row>8</xdr:row>
      <xdr:rowOff>39077</xdr:rowOff>
    </xdr:to>
    <xdr:sp>
      <xdr:nvSpPr>
        <xdr:cNvPr id="7" name="Rounded Rectangle 6"/>
        <xdr:cNvSpPr/>
      </xdr:nvSpPr>
      <xdr:spPr>
        <a:xfrm>
          <a:off x="0" y="741045"/>
          <a:ext cx="1989455" cy="760730"/>
        </a:xfrm>
        <a:prstGeom prst="roundRect">
          <a:avLst/>
        </a:prstGeom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318701</xdr:colOff>
      <xdr:row>4</xdr:row>
      <xdr:rowOff>127279</xdr:rowOff>
    </xdr:from>
    <xdr:to>
      <xdr:col>2</xdr:col>
      <xdr:colOff>2177</xdr:colOff>
      <xdr:row>5</xdr:row>
      <xdr:rowOff>158931</xdr:rowOff>
    </xdr:to>
    <xdr:sp>
      <xdr:nvSpPr>
        <xdr:cNvPr id="8" name="Text Box 7"/>
        <xdr:cNvSpPr txBox="1"/>
      </xdr:nvSpPr>
      <xdr:spPr>
        <a:xfrm>
          <a:off x="318135" y="858520"/>
          <a:ext cx="1085850" cy="214630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altLang="en-US" sz="1200" b="1">
              <a:solidFill>
                <a:schemeClr val="tx1"/>
              </a:solidFill>
            </a:rPr>
            <a:t>TOATL SPEND </a:t>
          </a:r>
          <a:endParaRPr lang="en-IN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215648</xdr:colOff>
      <xdr:row>6</xdr:row>
      <xdr:rowOff>101265</xdr:rowOff>
    </xdr:from>
    <xdr:to>
      <xdr:col>1</xdr:col>
      <xdr:colOff>482935</xdr:colOff>
      <xdr:row>7</xdr:row>
      <xdr:rowOff>133699</xdr:rowOff>
    </xdr:to>
    <xdr:sp>
      <xdr:nvSpPr>
        <xdr:cNvPr id="2" name="TextBox 1"/>
        <xdr:cNvSpPr txBox="1"/>
      </xdr:nvSpPr>
      <xdr:spPr>
        <a:xfrm>
          <a:off x="215265" y="1198245"/>
          <a:ext cx="1059815" cy="215265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en-IN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3132508.19</a:t>
          </a:r>
          <a:r>
            <a:rPr lang="en-IN" sz="1200" b="0">
              <a:solidFill>
                <a:sysClr val="windowText" lastClr="000000"/>
              </a:solidFill>
              <a:effectLst/>
            </a:rPr>
            <a:t> </a:t>
          </a:r>
          <a:r>
            <a:rPr lang="en-IN" sz="1200" b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endParaRPr lang="en-IN" sz="1200" b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21772</xdr:colOff>
      <xdr:row>4</xdr:row>
      <xdr:rowOff>7620</xdr:rowOff>
    </xdr:from>
    <xdr:to>
      <xdr:col>6</xdr:col>
      <xdr:colOff>261256</xdr:colOff>
      <xdr:row>8</xdr:row>
      <xdr:rowOff>38100</xdr:rowOff>
    </xdr:to>
    <xdr:sp>
      <xdr:nvSpPr>
        <xdr:cNvPr id="5" name="Rounded Rectangle 6"/>
        <xdr:cNvSpPr/>
      </xdr:nvSpPr>
      <xdr:spPr>
        <a:xfrm>
          <a:off x="2033270" y="739140"/>
          <a:ext cx="2068195" cy="762000"/>
        </a:xfrm>
        <a:prstGeom prst="roundRect">
          <a:avLst/>
        </a:prstGeom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131717</xdr:colOff>
      <xdr:row>4</xdr:row>
      <xdr:rowOff>121725</xdr:rowOff>
    </xdr:from>
    <xdr:to>
      <xdr:col>5</xdr:col>
      <xdr:colOff>101237</xdr:colOff>
      <xdr:row>6</xdr:row>
      <xdr:rowOff>0</xdr:rowOff>
    </xdr:to>
    <xdr:sp>
      <xdr:nvSpPr>
        <xdr:cNvPr id="9" name="Text Box 7"/>
        <xdr:cNvSpPr txBox="1"/>
      </xdr:nvSpPr>
      <xdr:spPr>
        <a:xfrm>
          <a:off x="2143125" y="852805"/>
          <a:ext cx="1188720" cy="244475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100" b="1">
              <a:solidFill>
                <a:schemeClr val="tx1"/>
              </a:solidFill>
            </a:rPr>
            <a:t>TOTAL</a:t>
          </a:r>
          <a:r>
            <a:rPr lang="en-IN" sz="1200" b="1" baseline="0">
              <a:solidFill>
                <a:schemeClr val="tx1"/>
              </a:solidFill>
            </a:rPr>
            <a:t> </a:t>
          </a:r>
          <a:r>
            <a:rPr lang="en-IN" sz="1200" b="1">
              <a:solidFill>
                <a:schemeClr val="tx1"/>
              </a:solidFill>
            </a:rPr>
            <a:t> </a:t>
          </a:r>
          <a:r>
            <a:rPr lang="en-IN" sz="1100" b="1">
              <a:solidFill>
                <a:schemeClr val="tx1"/>
              </a:solidFill>
              <a:latin typeface="+mn-lt"/>
              <a:ea typeface="+mn-ea"/>
              <a:cs typeface="+mn-cs"/>
            </a:rPr>
            <a:t>REVENUE</a:t>
          </a:r>
          <a:endParaRPr lang="en-IN" alt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329836</xdr:colOff>
      <xdr:row>6</xdr:row>
      <xdr:rowOff>100986</xdr:rowOff>
    </xdr:from>
    <xdr:to>
      <xdr:col>5</xdr:col>
      <xdr:colOff>50241</xdr:colOff>
      <xdr:row>7</xdr:row>
      <xdr:rowOff>119743</xdr:rowOff>
    </xdr:to>
    <xdr:sp>
      <xdr:nvSpPr>
        <xdr:cNvPr id="11" name="TextBox 10"/>
        <xdr:cNvSpPr txBox="1"/>
      </xdr:nvSpPr>
      <xdr:spPr>
        <a:xfrm>
          <a:off x="2341245" y="1198245"/>
          <a:ext cx="939800" cy="201295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en-IN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6552948.08</a:t>
          </a:r>
          <a:r>
            <a:rPr lang="en-IN" sz="1200" b="1">
              <a:solidFill>
                <a:sysClr val="windowText" lastClr="000000"/>
              </a:solidFill>
              <a:effectLst/>
            </a:rPr>
            <a:t>  </a:t>
          </a:r>
          <a:r>
            <a:rPr lang="en-IN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endParaRPr lang="en-IN" sz="12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273817</xdr:colOff>
      <xdr:row>4</xdr:row>
      <xdr:rowOff>3237</xdr:rowOff>
    </xdr:from>
    <xdr:to>
      <xdr:col>10</xdr:col>
      <xdr:colOff>32657</xdr:colOff>
      <xdr:row>8</xdr:row>
      <xdr:rowOff>54429</xdr:rowOff>
    </xdr:to>
    <xdr:sp>
      <xdr:nvSpPr>
        <xdr:cNvPr id="12" name="Rounded Rectangle 6"/>
        <xdr:cNvSpPr/>
      </xdr:nvSpPr>
      <xdr:spPr>
        <a:xfrm>
          <a:off x="4114165" y="734695"/>
          <a:ext cx="2197100" cy="782320"/>
        </a:xfrm>
        <a:prstGeom prst="roundRect">
          <a:avLst/>
        </a:prstGeom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487708</xdr:colOff>
      <xdr:row>4</xdr:row>
      <xdr:rowOff>54261</xdr:rowOff>
    </xdr:from>
    <xdr:to>
      <xdr:col>8</xdr:col>
      <xdr:colOff>299358</xdr:colOff>
      <xdr:row>5</xdr:row>
      <xdr:rowOff>163286</xdr:rowOff>
    </xdr:to>
    <xdr:sp>
      <xdr:nvSpPr>
        <xdr:cNvPr id="13" name="Text Box 7"/>
        <xdr:cNvSpPr txBox="1"/>
      </xdr:nvSpPr>
      <xdr:spPr>
        <a:xfrm>
          <a:off x="4328160" y="785495"/>
          <a:ext cx="1030605" cy="292100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100" b="1">
              <a:solidFill>
                <a:schemeClr val="tx1"/>
              </a:solidFill>
            </a:rPr>
            <a:t>TOTAL PROFIT</a:t>
          </a:r>
          <a:endParaRPr lang="en-IN" alt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507135</xdr:colOff>
      <xdr:row>6</xdr:row>
      <xdr:rowOff>69502</xdr:rowOff>
    </xdr:from>
    <xdr:to>
      <xdr:col>8</xdr:col>
      <xdr:colOff>354345</xdr:colOff>
      <xdr:row>7</xdr:row>
      <xdr:rowOff>101936</xdr:rowOff>
    </xdr:to>
    <xdr:sp>
      <xdr:nvSpPr>
        <xdr:cNvPr id="14" name="TextBox 13"/>
        <xdr:cNvSpPr txBox="1"/>
      </xdr:nvSpPr>
      <xdr:spPr>
        <a:xfrm>
          <a:off x="4347210" y="1166495"/>
          <a:ext cx="1066800" cy="215265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3420439.89</a:t>
          </a:r>
          <a:r>
            <a:rPr lang="en-IN" sz="1200" b="1">
              <a:solidFill>
                <a:schemeClr val="tx1"/>
              </a:solidFill>
              <a:effectLst/>
            </a:rPr>
            <a:t>   </a:t>
          </a:r>
          <a:r>
            <a:rPr lang="en-IN" sz="1200" b="1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IN" sz="12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67323</xdr:colOff>
      <xdr:row>4</xdr:row>
      <xdr:rowOff>37011</xdr:rowOff>
    </xdr:from>
    <xdr:to>
      <xdr:col>13</xdr:col>
      <xdr:colOff>413657</xdr:colOff>
      <xdr:row>8</xdr:row>
      <xdr:rowOff>76200</xdr:rowOff>
    </xdr:to>
    <xdr:sp>
      <xdr:nvSpPr>
        <xdr:cNvPr id="15" name="Rounded Rectangle 6"/>
        <xdr:cNvSpPr/>
      </xdr:nvSpPr>
      <xdr:spPr>
        <a:xfrm>
          <a:off x="6346190" y="768350"/>
          <a:ext cx="2174875" cy="770890"/>
        </a:xfrm>
        <a:prstGeom prst="roundRect">
          <a:avLst/>
        </a:prstGeom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500352</xdr:colOff>
      <xdr:row>4</xdr:row>
      <xdr:rowOff>145925</xdr:rowOff>
    </xdr:from>
    <xdr:to>
      <xdr:col>11</xdr:col>
      <xdr:colOff>538843</xdr:colOff>
      <xdr:row>6</xdr:row>
      <xdr:rowOff>26127</xdr:rowOff>
    </xdr:to>
    <xdr:sp>
      <xdr:nvSpPr>
        <xdr:cNvPr id="16" name="Text Box 7"/>
        <xdr:cNvSpPr txBox="1"/>
      </xdr:nvSpPr>
      <xdr:spPr>
        <a:xfrm>
          <a:off x="6778625" y="876935"/>
          <a:ext cx="648335" cy="246380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100" b="1">
              <a:solidFill>
                <a:schemeClr val="tx1"/>
              </a:solidFill>
            </a:rPr>
            <a:t>ROAS</a:t>
          </a:r>
          <a:endParaRPr lang="en-IN" alt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68579</xdr:colOff>
      <xdr:row>4</xdr:row>
      <xdr:rowOff>145869</xdr:rowOff>
    </xdr:from>
    <xdr:to>
      <xdr:col>2</xdr:col>
      <xdr:colOff>518160</xdr:colOff>
      <xdr:row>7</xdr:row>
      <xdr:rowOff>31569</xdr:rowOff>
    </xdr:to>
    <xdr:pic>
      <xdr:nvPicPr>
        <xdr:cNvPr id="18" name="Graphic 17" descr="Bar chart"/>
        <xdr:cNvPicPr>
          <a:picLocks noChangeAspect="1"/>
        </xdr:cNvPicPr>
      </xdr:nvPicPr>
      <xdr:blipFill>
        <a:blip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470025" y="876935"/>
          <a:ext cx="450215" cy="434340"/>
        </a:xfrm>
        <a:prstGeom prst="rect">
          <a:avLst/>
        </a:prstGeom>
      </xdr:spPr>
    </xdr:pic>
    <xdr:clientData/>
  </xdr:twoCellAnchor>
  <xdr:twoCellAnchor editAs="oneCell">
    <xdr:from>
      <xdr:col>5</xdr:col>
      <xdr:colOff>229689</xdr:colOff>
      <xdr:row>5</xdr:row>
      <xdr:rowOff>7620</xdr:rowOff>
    </xdr:from>
    <xdr:to>
      <xdr:col>6</xdr:col>
      <xdr:colOff>46809</xdr:colOff>
      <xdr:row>6</xdr:row>
      <xdr:rowOff>167640</xdr:rowOff>
    </xdr:to>
    <xdr:pic>
      <xdr:nvPicPr>
        <xdr:cNvPr id="20" name="Graphic 19" descr="Money"/>
        <xdr:cNvPicPr>
          <a:picLocks noChangeAspect="1"/>
        </xdr:cNvPicPr>
      </xdr:nvPicPr>
      <xdr:blipFill>
        <a:blip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460115" y="922020"/>
          <a:ext cx="426720" cy="342900"/>
        </a:xfrm>
        <a:prstGeom prst="rect">
          <a:avLst/>
        </a:prstGeom>
      </xdr:spPr>
    </xdr:pic>
    <xdr:clientData/>
  </xdr:twoCellAnchor>
  <xdr:twoCellAnchor editAs="oneCell">
    <xdr:from>
      <xdr:col>9</xdr:col>
      <xdr:colOff>55517</xdr:colOff>
      <xdr:row>4</xdr:row>
      <xdr:rowOff>140426</xdr:rowOff>
    </xdr:from>
    <xdr:to>
      <xdr:col>9</xdr:col>
      <xdr:colOff>588917</xdr:colOff>
      <xdr:row>7</xdr:row>
      <xdr:rowOff>35215</xdr:rowOff>
    </xdr:to>
    <xdr:pic>
      <xdr:nvPicPr>
        <xdr:cNvPr id="22" name="Graphic 21" descr="Upward trend"/>
        <xdr:cNvPicPr>
          <a:picLocks noChangeAspect="1"/>
        </xdr:cNvPicPr>
      </xdr:nvPicPr>
      <xdr:blipFill>
        <a:blip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724525" y="871855"/>
          <a:ext cx="533400" cy="443230"/>
        </a:xfrm>
        <a:prstGeom prst="rect">
          <a:avLst/>
        </a:prstGeom>
      </xdr:spPr>
    </xdr:pic>
    <xdr:clientData/>
  </xdr:twoCellAnchor>
  <xdr:twoCellAnchor>
    <xdr:from>
      <xdr:col>10</xdr:col>
      <xdr:colOff>388452</xdr:colOff>
      <xdr:row>6</xdr:row>
      <xdr:rowOff>104502</xdr:rowOff>
    </xdr:from>
    <xdr:to>
      <xdr:col>12</xdr:col>
      <xdr:colOff>177437</xdr:colOff>
      <xdr:row>7</xdr:row>
      <xdr:rowOff>127364</xdr:rowOff>
    </xdr:to>
    <xdr:sp>
      <xdr:nvSpPr>
        <xdr:cNvPr id="24" name="TextBox 23"/>
        <xdr:cNvSpPr txBox="1"/>
      </xdr:nvSpPr>
      <xdr:spPr>
        <a:xfrm>
          <a:off x="6666865" y="1201420"/>
          <a:ext cx="1008380" cy="205740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2.091917302</a:t>
          </a:r>
          <a:r>
            <a:rPr lang="en-IN" sz="1200" b="1">
              <a:solidFill>
                <a:schemeClr val="tx1"/>
              </a:solidFill>
              <a:effectLst/>
            </a:rPr>
            <a:t>   </a:t>
          </a:r>
          <a:r>
            <a:rPr lang="en-IN" sz="1200" b="1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IN" sz="12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538843</xdr:colOff>
      <xdr:row>5</xdr:row>
      <xdr:rowOff>53340</xdr:rowOff>
    </xdr:from>
    <xdr:to>
      <xdr:col>13</xdr:col>
      <xdr:colOff>355963</xdr:colOff>
      <xdr:row>7</xdr:row>
      <xdr:rowOff>99060</xdr:rowOff>
    </xdr:to>
    <xdr:pic>
      <xdr:nvPicPr>
        <xdr:cNvPr id="26" name="Graphic 25" descr="Bullseye"/>
        <xdr:cNvPicPr>
          <a:picLocks noChangeAspect="1"/>
        </xdr:cNvPicPr>
      </xdr:nvPicPr>
      <xdr:blipFill>
        <a:blip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8036560" y="967740"/>
          <a:ext cx="426720" cy="411480"/>
        </a:xfrm>
        <a:prstGeom prst="rect">
          <a:avLst/>
        </a:prstGeom>
      </xdr:spPr>
    </xdr:pic>
    <xdr:clientData/>
  </xdr:twoCellAnchor>
  <xdr:twoCellAnchor>
    <xdr:from>
      <xdr:col>13</xdr:col>
      <xdr:colOff>471352</xdr:colOff>
      <xdr:row>4</xdr:row>
      <xdr:rowOff>37012</xdr:rowOff>
    </xdr:from>
    <xdr:to>
      <xdr:col>17</xdr:col>
      <xdr:colOff>228600</xdr:colOff>
      <xdr:row>8</xdr:row>
      <xdr:rowOff>9645</xdr:rowOff>
    </xdr:to>
    <xdr:sp>
      <xdr:nvSpPr>
        <xdr:cNvPr id="27" name="Rounded Rectangle 6"/>
        <xdr:cNvSpPr/>
      </xdr:nvSpPr>
      <xdr:spPr>
        <a:xfrm>
          <a:off x="8578850" y="768350"/>
          <a:ext cx="2195830" cy="704215"/>
        </a:xfrm>
        <a:prstGeom prst="roundRect">
          <a:avLst/>
        </a:prstGeom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104503</xdr:colOff>
      <xdr:row>4</xdr:row>
      <xdr:rowOff>95794</xdr:rowOff>
    </xdr:from>
    <xdr:to>
      <xdr:col>16</xdr:col>
      <xdr:colOff>180703</xdr:colOff>
      <xdr:row>5</xdr:row>
      <xdr:rowOff>174171</xdr:rowOff>
    </xdr:to>
    <xdr:sp>
      <xdr:nvSpPr>
        <xdr:cNvPr id="28" name="Text Box 7"/>
        <xdr:cNvSpPr txBox="1"/>
      </xdr:nvSpPr>
      <xdr:spPr>
        <a:xfrm>
          <a:off x="8821420" y="826770"/>
          <a:ext cx="1295400" cy="261620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b="1">
              <a:solidFill>
                <a:schemeClr val="tx1"/>
              </a:solidFill>
            </a:rPr>
            <a:t>Total Conversions</a:t>
          </a:r>
          <a:endParaRPr lang="en-IN" altLang="en-US" sz="11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260001</xdr:colOff>
      <xdr:row>6</xdr:row>
      <xdr:rowOff>108855</xdr:rowOff>
    </xdr:from>
    <xdr:to>
      <xdr:col>15</xdr:col>
      <xdr:colOff>376646</xdr:colOff>
      <xdr:row>7</xdr:row>
      <xdr:rowOff>154576</xdr:rowOff>
    </xdr:to>
    <xdr:sp>
      <xdr:nvSpPr>
        <xdr:cNvPr id="29" name="TextBox 28"/>
        <xdr:cNvSpPr txBox="1"/>
      </xdr:nvSpPr>
      <xdr:spPr>
        <a:xfrm>
          <a:off x="8976995" y="1205865"/>
          <a:ext cx="726440" cy="228600"/>
        </a:xfrm>
        <a:prstGeom prst="rect">
          <a:avLst/>
        </a:prstGeom>
        <a:ln>
          <a:noFill/>
        </a:ln>
        <a:effectLst/>
      </xdr:spPr>
      <xdr:style>
        <a:lnRef idx="0">
          <a:srgbClr val="FFFFFF"/>
        </a:lnRef>
        <a:fillRef idx="2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en-I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184526</a:t>
          </a:r>
          <a:r>
            <a:rPr lang="en-IN" sz="1200" b="1">
              <a:solidFill>
                <a:schemeClr val="tx1"/>
              </a:solidFill>
              <a:effectLst/>
            </a:rPr>
            <a:t>    </a:t>
          </a:r>
          <a:r>
            <a:rPr lang="en-IN" sz="1200" b="1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IN" sz="12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283029</xdr:colOff>
      <xdr:row>5</xdr:row>
      <xdr:rowOff>27215</xdr:rowOff>
    </xdr:from>
    <xdr:to>
      <xdr:col>17</xdr:col>
      <xdr:colOff>153489</xdr:colOff>
      <xdr:row>7</xdr:row>
      <xdr:rowOff>80555</xdr:rowOff>
    </xdr:to>
    <xdr:pic>
      <xdr:nvPicPr>
        <xdr:cNvPr id="31" name="Graphic 30" descr="Shopping cart"/>
        <xdr:cNvPicPr>
          <a:picLocks noChangeAspect="1"/>
        </xdr:cNvPicPr>
      </xdr:nvPicPr>
      <xdr:blipFill>
        <a:blip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0219055" y="941070"/>
          <a:ext cx="480060" cy="419100"/>
        </a:xfrm>
        <a:prstGeom prst="rect">
          <a:avLst/>
        </a:prstGeom>
      </xdr:spPr>
    </xdr:pic>
    <xdr:clientData/>
  </xdr:twoCellAnchor>
  <xdr:twoCellAnchor>
    <xdr:from>
      <xdr:col>0</xdr:col>
      <xdr:colOff>91771</xdr:colOff>
      <xdr:row>8</xdr:row>
      <xdr:rowOff>102556</xdr:rowOff>
    </xdr:from>
    <xdr:to>
      <xdr:col>9</xdr:col>
      <xdr:colOff>67519</xdr:colOff>
      <xdr:row>23</xdr:row>
      <xdr:rowOff>48226</xdr:rowOff>
    </xdr:to>
    <xdr:graphicFrame>
      <xdr:nvGraphicFramePr>
        <xdr:cNvPr id="32" name="Chart 31"/>
        <xdr:cNvGraphicFramePr/>
      </xdr:nvGraphicFramePr>
      <xdr:xfrm>
        <a:off x="91440" y="1565275"/>
        <a:ext cx="5645150" cy="2688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115746</xdr:colOff>
      <xdr:row>8</xdr:row>
      <xdr:rowOff>154329</xdr:rowOff>
    </xdr:from>
    <xdr:to>
      <xdr:col>17</xdr:col>
      <xdr:colOff>296394</xdr:colOff>
      <xdr:row>23</xdr:row>
      <xdr:rowOff>28937</xdr:rowOff>
    </xdr:to>
    <xdr:graphicFrame>
      <xdr:nvGraphicFramePr>
        <xdr:cNvPr id="33" name="Chart 32"/>
        <xdr:cNvGraphicFramePr/>
      </xdr:nvGraphicFramePr>
      <xdr:xfrm>
        <a:off x="5784850" y="1617345"/>
        <a:ext cx="5057140" cy="2617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90531</xdr:colOff>
      <xdr:row>23</xdr:row>
      <xdr:rowOff>106101</xdr:rowOff>
    </xdr:from>
    <xdr:to>
      <xdr:col>9</xdr:col>
      <xdr:colOff>86810</xdr:colOff>
      <xdr:row>39</xdr:row>
      <xdr:rowOff>3719</xdr:rowOff>
    </xdr:to>
    <xdr:graphicFrame>
      <xdr:nvGraphicFramePr>
        <xdr:cNvPr id="35" name="Chart 34"/>
        <xdr:cNvGraphicFramePr/>
      </xdr:nvGraphicFramePr>
      <xdr:xfrm>
        <a:off x="90170" y="4312285"/>
        <a:ext cx="5665470" cy="2823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337595</xdr:colOff>
      <xdr:row>4</xdr:row>
      <xdr:rowOff>38583</xdr:rowOff>
    </xdr:from>
    <xdr:to>
      <xdr:col>21</xdr:col>
      <xdr:colOff>385823</xdr:colOff>
      <xdr:row>13</xdr:row>
      <xdr:rowOff>163975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hann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265" y="769620"/>
              <a:ext cx="2486660" cy="177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443697</xdr:colOff>
      <xdr:row>4</xdr:row>
      <xdr:rowOff>48229</xdr:rowOff>
    </xdr:from>
    <xdr:to>
      <xdr:col>25</xdr:col>
      <xdr:colOff>501570</xdr:colOff>
      <xdr:row>13</xdr:row>
      <xdr:rowOff>154330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Year-Mont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-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27710" y="779145"/>
              <a:ext cx="2496185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182181</xdr:colOff>
      <xdr:row>23</xdr:row>
      <xdr:rowOff>99060</xdr:rowOff>
    </xdr:from>
    <xdr:to>
      <xdr:col>17</xdr:col>
      <xdr:colOff>327950</xdr:colOff>
      <xdr:row>38</xdr:row>
      <xdr:rowOff>102235</xdr:rowOff>
    </xdr:to>
    <xdr:graphicFrame>
      <xdr:nvGraphicFramePr>
        <xdr:cNvPr id="23" name="Chart 22"/>
        <xdr:cNvGraphicFramePr/>
      </xdr:nvGraphicFramePr>
      <xdr:xfrm>
        <a:off x="5850890" y="4305300"/>
        <a:ext cx="5022850" cy="274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588379</xdr:colOff>
      <xdr:row>4</xdr:row>
      <xdr:rowOff>48228</xdr:rowOff>
    </xdr:from>
    <xdr:to>
      <xdr:col>29</xdr:col>
      <xdr:colOff>289364</xdr:colOff>
      <xdr:row>14</xdr:row>
      <xdr:rowOff>4050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10890" y="779145"/>
              <a:ext cx="2139315" cy="1784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17</xdr:col>
      <xdr:colOff>462988</xdr:colOff>
      <xdr:row>14</xdr:row>
      <xdr:rowOff>77165</xdr:rowOff>
    </xdr:from>
    <xdr:to>
      <xdr:col>29</xdr:col>
      <xdr:colOff>327949</xdr:colOff>
      <xdr:row>39</xdr:row>
      <xdr:rowOff>28938</xdr:rowOff>
    </xdr:to>
    <xdr:graphicFrame>
      <xdr:nvGraphicFramePr>
        <xdr:cNvPr id="10" name="Chart 9"/>
        <xdr:cNvGraphicFramePr/>
      </xdr:nvGraphicFramePr>
      <xdr:xfrm>
        <a:off x="11008995" y="2637155"/>
        <a:ext cx="7179945" cy="4523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1.5793171296" refreshedBy="DELL" recordCount="500">
  <cacheSource type="worksheet">
    <worksheetSource ref="A1:Q501" sheet="Cleaned Data"/>
  </cacheSource>
  <cacheFields count="17">
    <cacheField name="Campaign_ID" numFmtId="0">
      <sharedItems count="500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1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6"/>
        <s v="C0317"/>
        <s v="C0318"/>
        <s v="C0319"/>
        <s v="C0320"/>
        <s v="C0321"/>
        <s v="C0322"/>
        <s v="C0323"/>
        <s v="C0324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1"/>
        <s v="C0342"/>
        <s v="C0343"/>
        <s v="C0344"/>
        <s v="C0345"/>
        <s v="C0346"/>
        <s v="C0347"/>
        <s v="C0348"/>
        <s v="C0349"/>
        <s v="C0350"/>
        <s v="C0351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7"/>
        <s v="C0368"/>
        <s v="C0369"/>
        <s v="C0370"/>
        <s v="C0371"/>
        <s v="C0372"/>
        <s v="C0373"/>
        <s v="C0374"/>
        <s v="C0375"/>
        <s v="C0376"/>
        <s v="C0377"/>
        <s v="C0378"/>
        <s v="C0379"/>
        <s v="C0380"/>
        <s v="C0381"/>
        <s v="C0382"/>
        <s v="C0383"/>
        <s v="C0384"/>
        <s v="C0385"/>
        <s v="C0386"/>
        <s v="C0387"/>
        <s v="C0388"/>
        <s v="C0389"/>
        <s v="C0390"/>
        <s v="C0391"/>
        <s v="C0392"/>
        <s v="C0393"/>
        <s v="C0394"/>
        <s v="C0395"/>
        <s v="C0396"/>
        <s v="C0397"/>
        <s v="C0398"/>
        <s v="C0399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8"/>
        <s v="C0419"/>
        <s v="C0420"/>
        <s v="C0421"/>
        <s v="C0422"/>
        <s v="C0423"/>
        <s v="C0424"/>
        <s v="C0425"/>
        <s v="C0426"/>
        <s v="C0427"/>
        <s v="C0428"/>
        <s v="C0429"/>
        <s v="C0430"/>
        <s v="C0431"/>
        <s v="C0432"/>
        <s v="C0433"/>
        <s v="C0434"/>
        <s v="C0435"/>
        <s v="C0436"/>
        <s v="C0437"/>
        <s v="C0438"/>
        <s v="C0439"/>
        <s v="C0440"/>
        <s v="C0441"/>
        <s v="C0442"/>
        <s v="C0443"/>
        <s v="C0444"/>
        <s v="C0445"/>
        <s v="C0446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59"/>
        <s v="C0460"/>
        <s v="C0461"/>
        <s v="C0462"/>
        <s v="C0463"/>
        <s v="C0464"/>
        <s v="C0465"/>
        <s v="C0466"/>
        <s v="C0467"/>
        <s v="C0468"/>
        <s v="C0469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3"/>
        <s v="C0494"/>
        <s v="C0495"/>
        <s v="C0496"/>
        <s v="C0497"/>
        <s v="C0498"/>
        <s v="C0499"/>
        <s v="C0500"/>
      </sharedItems>
    </cacheField>
    <cacheField name="Date" numFmtId="180">
      <sharedItems containsSemiMixedTypes="0" containsString="0" containsNonDate="0" containsDate="1" minDate="2024-12-10T00:00:00" maxDate="2025-06-10T00:00:00" count="173">
        <d v="2025-05-03T00:00:00"/>
        <d v="2025-01-17T00:00:00"/>
        <d v="2025-04-04T00:00:00"/>
        <d v="2025-05-30T00:00:00"/>
        <d v="2025-05-14T00:00:00"/>
        <d v="2025-04-17T00:00:00"/>
        <d v="2025-03-30T00:00:00"/>
        <d v="2025-04-09T00:00:00"/>
        <d v="2025-02-02T00:00:00"/>
        <d v="2025-03-28T00:00:00"/>
        <d v="2025-04-07T00:00:00"/>
        <d v="2025-05-28T00:00:00"/>
        <d v="2025-01-15T00:00:00"/>
        <d v="2024-12-20T00:00:00"/>
        <d v="2025-02-03T00:00:00"/>
        <d v="2025-03-09T00:00:00"/>
        <d v="2025-05-26T00:00:00"/>
        <d v="2025-01-12T00:00:00"/>
        <d v="2025-06-06T00:00:00"/>
        <d v="2025-05-07T00:00:00"/>
        <d v="2025-06-02T00:00:00"/>
        <d v="2025-04-19T00:00:00"/>
        <d v="2025-02-15T00:00:00"/>
        <d v="2025-04-06T00:00:00"/>
        <d v="2025-03-05T00:00:00"/>
        <d v="2025-06-01T00:00:00"/>
        <d v="2025-01-22T00:00:00"/>
        <d v="2025-04-21T00:00:00"/>
        <d v="2025-05-25T00:00:00"/>
        <d v="2025-02-23T00:00:00"/>
        <d v="2024-12-27T00:00:00"/>
        <d v="2025-04-08T00:00:00"/>
        <d v="2025-02-13T00:00:00"/>
        <d v="2025-04-12T00:00:00"/>
        <d v="2025-03-06T00:00:00"/>
        <d v="2025-04-01T00:00:00"/>
        <d v="2025-01-14T00:00:00"/>
        <d v="2024-12-16T00:00:00"/>
        <d v="2025-04-16T00:00:00"/>
        <d v="2025-05-08T00:00:00"/>
        <d v="2025-05-20T00:00:00"/>
        <d v="2025-01-05T00:00:00"/>
        <d v="2025-03-10T00:00:00"/>
        <d v="2025-02-05T00:00:00"/>
        <d v="2025-05-29T00:00:00"/>
        <d v="2025-03-11T00:00:00"/>
        <d v="2025-01-10T00:00:00"/>
        <d v="2025-01-25T00:00:00"/>
        <d v="2025-01-27T00:00:00"/>
        <d v="2025-02-16T00:00:00"/>
        <d v="2025-04-25T00:00:00"/>
        <d v="2025-04-22T00:00:00"/>
        <d v="2025-03-31T00:00:00"/>
        <d v="2024-12-19T00:00:00"/>
        <d v="2025-02-22T00:00:00"/>
        <d v="2025-03-01T00:00:00"/>
        <d v="2025-03-18T00:00:00"/>
        <d v="2024-12-28T00:00:00"/>
        <d v="2025-04-10T00:00:00"/>
        <d v="2025-01-30T00:00:00"/>
        <d v="2025-02-10T00:00:00"/>
        <d v="2025-03-08T00:00:00"/>
        <d v="2025-02-24T00:00:00"/>
        <d v="2025-06-10T00:00:00"/>
        <d v="2024-12-10T00:00:00"/>
        <d v="2025-02-25T00:00:00"/>
        <d v="2025-03-15T00:00:00"/>
        <d v="2025-02-18T00:00:00"/>
        <d v="2024-12-13T00:00:00"/>
        <d v="2025-05-24T00:00:00"/>
        <d v="2025-04-20T00:00:00"/>
        <d v="2025-05-02T00:00:00"/>
        <d v="2025-06-05T00:00:00"/>
        <d v="2025-03-26T00:00:00"/>
        <d v="2025-01-11T00:00:00"/>
        <d v="2025-03-04T00:00:00"/>
        <d v="2025-02-21T00:00:00"/>
        <d v="2025-04-05T00:00:00"/>
        <d v="2025-04-27T00:00:00"/>
        <d v="2025-02-28T00:00:00"/>
        <d v="2025-04-28T00:00:00"/>
        <d v="2024-12-14T00:00:00"/>
        <d v="2025-03-19T00:00:00"/>
        <d v="2025-03-03T00:00:00"/>
        <d v="2025-02-09T00:00:00"/>
        <d v="2025-01-16T00:00:00"/>
        <d v="2025-04-30T00:00:00"/>
        <d v="2025-01-23T00:00:00"/>
        <d v="2025-04-23T00:00:00"/>
        <d v="2025-01-28T00:00:00"/>
        <d v="2025-02-27T00:00:00"/>
        <d v="2024-12-24T00:00:00"/>
        <d v="2025-05-31T00:00:00"/>
        <d v="2025-05-10T00:00:00"/>
        <d v="2025-05-23T00:00:00"/>
        <d v="2025-06-08T00:00:00"/>
        <d v="2025-04-15T00:00:00"/>
        <d v="2025-05-12T00:00:00"/>
        <d v="2025-04-24T00:00:00"/>
        <d v="2025-02-12T00:00:00"/>
        <d v="2025-05-16T00:00:00"/>
        <d v="2025-01-06T00:00:00"/>
        <d v="2025-01-04T00:00:00"/>
        <d v="2025-05-01T00:00:00"/>
        <d v="2025-05-06T00:00:00"/>
        <d v="2025-03-23T00:00:00"/>
        <d v="2025-03-02T00:00:00"/>
        <d v="2025-05-04T00:00:00"/>
        <d v="2025-02-20T00:00:00"/>
        <d v="2024-12-11T00:00:00"/>
        <d v="2025-05-13T00:00:00"/>
        <d v="2025-02-08T00:00:00"/>
        <d v="2025-02-14T00:00:00"/>
        <d v="2025-01-08T00:00:00"/>
        <d v="2025-04-18T00:00:00"/>
        <d v="2025-03-13T00:00:00"/>
        <d v="2024-12-17T00:00:00"/>
        <d v="2025-05-27T00:00:00"/>
        <d v="2024-12-15T00:00:00"/>
        <d v="2025-06-09T00:00:00"/>
        <d v="2025-04-29T00:00:00"/>
        <d v="2024-12-12T00:00:00"/>
        <d v="2025-04-11T00:00:00"/>
        <d v="2024-12-21T00:00:00"/>
        <d v="2025-05-19T00:00:00"/>
        <d v="2025-01-01T00:00:00"/>
        <d v="2024-12-30T00:00:00"/>
        <d v="2025-02-01T00:00:00"/>
        <d v="2025-02-19T00:00:00"/>
        <d v="2025-01-18T00:00:00"/>
        <d v="2025-05-15T00:00:00"/>
        <d v="2025-04-02T00:00:00"/>
        <d v="2025-03-17T00:00:00"/>
        <d v="2025-03-14T00:00:00"/>
        <d v="2025-01-20T00:00:00"/>
        <d v="2025-05-22T00:00:00"/>
        <d v="2024-12-26T00:00:00"/>
        <d v="2025-04-26T00:00:00"/>
        <d v="2025-02-04T00:00:00"/>
        <d v="2024-12-25T00:00:00"/>
        <d v="2025-02-07T00:00:00"/>
        <d v="2025-05-21T00:00:00"/>
        <d v="2024-12-18T00:00:00"/>
        <d v="2024-12-31T00:00:00"/>
        <d v="2025-06-04T00:00:00"/>
        <d v="2025-03-22T00:00:00"/>
        <d v="2024-12-29T00:00:00"/>
        <d v="2025-03-29T00:00:00"/>
        <d v="2025-02-26T00:00:00"/>
        <d v="2025-03-27T00:00:00"/>
        <d v="2025-01-29T00:00:00"/>
        <d v="2025-04-13T00:00:00"/>
        <d v="2025-01-31T00:00:00"/>
        <d v="2025-03-21T00:00:00"/>
        <d v="2025-05-17T00:00:00"/>
        <d v="2025-05-11T00:00:00"/>
        <d v="2025-01-07T00:00:00"/>
        <d v="2025-02-06T00:00:00"/>
        <d v="2025-03-20T00:00:00"/>
        <d v="2025-06-07T00:00:00"/>
        <d v="2025-02-11T00:00:00"/>
        <d v="2025-05-09T00:00:00"/>
        <d v="2025-02-17T00:00:00"/>
        <d v="2025-05-18T00:00:00"/>
        <d v="2025-06-03T00:00:00"/>
        <d v="2025-01-02T00:00:00"/>
        <d v="2025-01-24T00:00:00"/>
        <d v="2025-04-03T00:00:00"/>
        <d v="2025-01-13T00:00:00"/>
        <d v="2025-04-14T00:00:00"/>
        <d v="2025-01-09T00:00:00"/>
        <d v="2025-05-05T00:00:00"/>
        <d v="2025-03-12T00:00:00"/>
      </sharedItems>
    </cacheField>
    <cacheField name="Channel" numFmtId="0">
      <sharedItems count="5">
        <s v="Google Ads"/>
        <s v="Facebook"/>
        <s v="Twitter"/>
        <s v="LinkedIn"/>
        <s v="Instagram"/>
      </sharedItems>
    </cacheField>
    <cacheField name="Region" numFmtId="0">
      <sharedItems count="4">
        <s v="East"/>
        <s v="South"/>
        <s v="North"/>
        <s v="West"/>
      </sharedItems>
    </cacheField>
    <cacheField name="Budget ($)" numFmtId="0">
      <sharedItems containsSemiMixedTypes="0" containsString="0" containsNumber="1" minValue="0" maxValue="9998.02" count="500">
        <n v="5621.78"/>
        <n v="7190.61"/>
        <n v="3406.59"/>
        <n v="7956.51"/>
        <n v="8827.1"/>
        <n v="4283.83"/>
        <n v="6023.62"/>
        <n v="3976.46"/>
        <n v="6192.49"/>
        <n v="6599.64"/>
        <n v="7252.81"/>
        <n v="9642.2"/>
        <n v="5132.3"/>
        <n v="6081.07"/>
        <n v="3240.72"/>
        <n v="7637.66"/>
        <n v="6826.97"/>
        <n v="8425.93"/>
        <n v="7185.3"/>
        <n v="4371.88"/>
        <n v="5720.74"/>
        <n v="5497.27"/>
        <n v="3986.47"/>
        <n v="9908.21"/>
        <n v="3038.65"/>
        <n v="8103.05"/>
        <n v="5509.26"/>
        <n v="7363.09"/>
        <n v="5176.88"/>
        <n v="7462.9"/>
        <n v="3837.16"/>
        <n v="6928.94"/>
        <n v="6659.13"/>
        <n v="3755.24"/>
        <n v="5200.49"/>
        <n v="4745.05"/>
        <n v="4601.59"/>
        <n v="4128.55"/>
        <n v="7433.83"/>
        <n v="4305.99"/>
        <n v="8652.08"/>
        <n v="3770.36"/>
        <n v="8726.1"/>
        <n v="6575.23"/>
        <n v="3839.06"/>
        <n v="5262.42"/>
        <n v="5545.41"/>
        <n v="4762.48"/>
        <n v="4993.88"/>
        <n v="6518.75"/>
        <n v="9357.86"/>
        <n v="6426.17"/>
        <n v="7704.95"/>
        <n v="8097.51"/>
        <n v="7434.71"/>
        <n v="8847.12"/>
        <n v="3285.43"/>
        <n v="3116.11"/>
        <n v="7516.21"/>
        <n v="5707.15"/>
        <n v="5387.46"/>
        <n v="9141.38"/>
        <n v="8720.56"/>
        <n v="4692.97"/>
        <n v="9302.93"/>
        <n v="5444.47"/>
        <n v="9209.6"/>
        <n v="3588.98"/>
        <n v="7245"/>
        <n v="7644.51"/>
        <n v="6841.14"/>
        <n v="4569.89"/>
        <n v="5277.8"/>
        <n v="8944.56"/>
        <n v="3655.72"/>
        <n v="4707.93"/>
        <n v="9244.33"/>
        <n v="6518.46"/>
        <n v="4366.7"/>
        <n v="3170.21"/>
        <n v="9583.21"/>
        <n v="5591.11"/>
        <n v="5997.29"/>
        <n v="8971.07"/>
        <n v="8957.96"/>
        <n v="6897.61"/>
        <n v="6990.43"/>
        <n v="9930.38"/>
        <n v="9141.61"/>
        <n v="7917.39"/>
        <n v="8665.53"/>
        <n v="9392.68"/>
        <n v="8588.07"/>
        <n v="8570.55"/>
        <n v="5629.08"/>
        <n v="3251.6"/>
        <n v="5005.79"/>
        <n v="3261.44"/>
        <n v="3889.42"/>
        <n v="4510.75"/>
        <n v="3361.77"/>
        <n v="7462.01"/>
        <n v="6614.1"/>
        <n v="4895.83"/>
        <n v="3177.46"/>
        <n v="7871.82"/>
        <n v="4095.06"/>
        <n v="8002.17"/>
        <n v="9684.06"/>
        <n v="7282.05"/>
        <n v="5491.81"/>
        <n v="3812.51"/>
        <n v="8988.22"/>
        <n v="3684.84"/>
        <n v="4212.41"/>
        <n v="7310.95"/>
        <n v="5622.29"/>
        <n v="8995.43"/>
        <n v="3493.98"/>
        <n v="7100.43"/>
        <n v="5717.19"/>
        <n v="6819.32"/>
        <n v="9728.33"/>
        <n v="3485.53"/>
        <n v="3661.1"/>
        <n v="5232.83"/>
        <n v="8701.28"/>
        <n v="7877.16"/>
        <n v="8145.5"/>
        <n v="4242.08"/>
        <n v="9933.54"/>
        <n v="8434.89"/>
        <n v="9008.89"/>
        <n v="8281.8"/>
        <n v="6536.77"/>
        <n v="9268.66"/>
        <n v="9337.67"/>
        <n v="9650.43"/>
        <n v="7422.86"/>
        <n v="5300.65"/>
        <n v="8541.05"/>
        <n v="6460.94"/>
        <n v="6090.71"/>
        <n v="3819.47"/>
        <n v="7327.53"/>
        <n v="7906.78"/>
        <n v="7943.7"/>
        <n v="9906.48"/>
        <n v="8689.6"/>
        <n v="8273.65"/>
        <n v="8440.03"/>
        <n v="9344.48"/>
        <n v="3079.48"/>
        <n v="3831.73"/>
        <n v="8222.31"/>
        <n v="5624.09"/>
        <n v="4565.17"/>
        <n v="9789.15"/>
        <n v="6693.91"/>
        <n v="6876.98"/>
        <n v="7405.79"/>
        <n v="7392.91"/>
        <n v="3318.12"/>
        <n v="9231.85"/>
        <n v="4941.67"/>
        <n v="5473.47"/>
        <n v="9820.76"/>
        <n v="6752.67"/>
        <n v="7793.12"/>
        <n v="8757.76"/>
        <n v="7293.91"/>
        <n v="9062.45"/>
        <n v="5635.24"/>
        <n v="4052.92"/>
        <n v="9789.4"/>
        <n v="6280.85"/>
        <n v="3394.63"/>
        <n v="9998.02"/>
        <n v="8382.91"/>
        <n v="4731.44"/>
        <n v="9678.36"/>
        <n v="7701.9"/>
        <n v="3794.9"/>
        <n v="8406.23"/>
        <n v="6863.35"/>
        <n v="5824.38"/>
        <n v="8285.96"/>
        <n v="4490.75"/>
        <n v="5454.11"/>
        <n v="6062.32"/>
        <n v="6597.93"/>
        <n v="7354.61"/>
        <n v="4029.51"/>
        <n v="4807.71"/>
        <n v="6448.33"/>
        <n v="4681.02"/>
        <n v="3896.32"/>
        <n v="7486.12"/>
        <n v="9277.52"/>
        <n v="4206.24"/>
        <n v="4182.55"/>
        <n v="3620.92"/>
        <n v="4444.34"/>
        <n v="7832.76"/>
        <n v="7395.3"/>
        <n v="9446.11"/>
        <n v="8643.41"/>
        <n v="4465.45"/>
        <n v="7327.78"/>
        <n v="8232.3"/>
        <n v="7993.45"/>
        <n v="6724.79"/>
        <n v="6728.32"/>
        <n v="5640.99"/>
        <n v="4480.14"/>
        <n v="9233.69"/>
        <n v="8524.2"/>
        <n v="6759.75"/>
        <n v="6021.62"/>
        <n v="5541.58"/>
        <n v="5492.68"/>
        <n v="4660.59"/>
        <n v="4721.7"/>
        <n v="4995.67"/>
        <n v="3561.64"/>
        <n v="9876.65"/>
        <n v="9786.29"/>
        <n v="4805.32"/>
        <n v="9505.63"/>
        <n v="4959.85"/>
        <n v="5265.75"/>
        <n v="4696.87"/>
        <n v="5020.41"/>
        <n v="6367.98"/>
        <n v="5356.23"/>
        <n v="9929.72"/>
        <n v="4782.48"/>
        <n v="7169.47"/>
        <n v="5442.08"/>
        <n v="9755.19"/>
        <n v="9568.38"/>
        <n v="8187.84"/>
        <n v="3978.41"/>
        <n v="4145.59"/>
        <n v="7656.38"/>
        <n v="9140.4"/>
        <n v="6073.94"/>
        <n v="5109.65"/>
        <n v="4625.49"/>
        <n v="6804.87"/>
        <n v="3818.29"/>
        <n v="5344.34"/>
        <n v="7340.51"/>
        <n v="8520.18"/>
        <n v="4739.42"/>
        <n v="6989.23"/>
        <n v="5394.57"/>
        <n v="8925.17"/>
        <n v="8581.07"/>
        <n v="8055.77"/>
        <n v="7857.64"/>
        <n v="5419.87"/>
        <n v="7083.74"/>
        <n v="9630.98"/>
        <n v="6541.22"/>
        <n v="9104.87"/>
        <n v="7876.56"/>
        <n v="4067.77"/>
        <n v="5968.91"/>
        <n v="9478.98"/>
        <n v="9893.89"/>
        <n v="9445.89"/>
        <n v="7138.93"/>
        <n v="5346.38"/>
        <n v="5334.49"/>
        <n v="9438.99"/>
        <n v="8162.51"/>
        <n v="6167.08"/>
        <n v="6488.57"/>
        <n v="5536.76"/>
        <n v="3091.66"/>
        <n v="9727.49"/>
        <n v="3597.45"/>
        <n v="7167.7"/>
        <n v="4469.34"/>
        <n v="4334.81"/>
        <n v="6953.89"/>
        <n v="6173.02"/>
        <n v="5805.34"/>
        <n v="4273.5"/>
        <n v="5613.17"/>
        <n v="5861.14"/>
        <n v="8011.81"/>
        <n v="4553.81"/>
        <n v="3137.97"/>
        <n v="4249.81"/>
        <n v="3696.09"/>
        <n v="8989.88"/>
        <n v="7676.6"/>
        <n v="9274.35"/>
        <n v="4455.2"/>
        <n v="7081.29"/>
        <n v="8722.1"/>
        <n v="5657.85"/>
        <n v="7369.04"/>
        <n v="6052.89"/>
        <n v="8345.24"/>
        <n v="6412.02"/>
        <n v="5976.49"/>
        <n v="6791.44"/>
        <n v="3975.49"/>
        <n v="6679.83"/>
        <n v="3128.73"/>
        <n v="7035.62"/>
        <n v="7559.94"/>
        <n v="3076.97"/>
        <n v="9117.23"/>
        <n v="7655.26"/>
        <n v="5931.39"/>
        <n v="3328.76"/>
        <n v="3579.59"/>
        <n v="5725.07"/>
        <n v="8033.32"/>
        <n v="6332.35"/>
        <n v="8128"/>
        <n v="4835.85"/>
        <n v="6474.56"/>
        <n v="8396.39"/>
        <n v="8097.32"/>
        <n v="6043.79"/>
        <n v="8595.91"/>
        <n v="7131.61"/>
        <n v="9421.2"/>
        <n v="6122.04"/>
        <n v="9110.62"/>
        <n v="7611.48"/>
        <n v="4747.68"/>
        <n v="9913.68"/>
        <n v="7939.03"/>
        <n v="6975.62"/>
        <n v="7881.94"/>
        <n v="9797.41"/>
        <n v="9034.3"/>
        <n v="8802.41"/>
        <n v="4610.06"/>
        <n v="7874.02"/>
        <n v="3457.49"/>
        <n v="8535.06"/>
        <n v="9201.84"/>
        <n v="3170.81"/>
        <n v="9122.91"/>
        <n v="8591.48"/>
        <n v="8370.32"/>
        <n v="7392.54"/>
        <n v="8377.91"/>
        <n v="8163.08"/>
        <n v="5482.36"/>
        <n v="4635.25"/>
        <n v="9914.06"/>
        <n v="7757.53"/>
        <n v="8504.42"/>
        <n v="9153.83"/>
        <n v="7293.88"/>
        <n v="4621.7"/>
        <n v="7254.16"/>
        <n v="4235.7"/>
        <n v="8457.09"/>
        <n v="9783.72"/>
        <n v="9964.35"/>
        <n v="8307.67"/>
        <n v="8710.83"/>
        <n v="6758.82"/>
        <n v="3640.41"/>
        <n v="3906.6"/>
        <n v="9034.89"/>
        <n v="6856"/>
        <n v="5608.82"/>
        <n v="6471.13"/>
        <n v="7782.81"/>
        <n v="6466.03"/>
        <n v="8772.77"/>
        <n v="6960.12"/>
        <n v="8581.98"/>
        <n v="9071.06"/>
        <n v="7882.3"/>
        <n v="8269.02"/>
        <n v="9102.9"/>
        <n v="3902.09"/>
        <n v="4125.32"/>
        <n v="6552.27"/>
        <n v="7318.49"/>
        <n v="4818.63"/>
        <n v="8458.92"/>
        <n v="6788.87"/>
        <n v="7428.35"/>
        <n v="9560.6"/>
        <n v="5106.74"/>
        <n v="7075.19"/>
        <n v="3320.19"/>
        <n v="9782.14"/>
        <n v="8307.84"/>
        <n v="5265.27"/>
        <n v="7783.07"/>
        <n v="9979.87"/>
        <n v="4145.37"/>
        <n v="4545.39"/>
        <n v="7581.58"/>
        <n v="4057.41"/>
        <n v="5938.09"/>
        <n v="4919.51"/>
        <n v="9258.69"/>
        <n v="3217.94"/>
        <n v="9050.51"/>
        <n v="4298.68"/>
        <n v="8396.45"/>
        <n v="7383.54"/>
        <n v="9445.93"/>
        <n v="6370.66"/>
        <n v="7798.96"/>
        <n v="6441.16"/>
        <n v="4882.95"/>
        <n v="6186.54"/>
        <n v="5747.45"/>
        <n v="5041.64"/>
        <n v="8458.96"/>
        <n v="3734.51"/>
        <n v="3997.47"/>
        <n v="7917.25"/>
        <n v="5285.23"/>
        <n v="5454.39"/>
        <n v="5778.46"/>
        <n v="7826.25"/>
        <n v="4172.38"/>
        <n v="7945.33"/>
        <n v="3363.8"/>
        <n v="9096.78"/>
        <n v="5376.15"/>
        <n v="9263.72"/>
        <n v="6166.23"/>
        <n v="8121.13"/>
        <n v="4729.72"/>
        <n v="4534.5"/>
        <n v="4274.83"/>
        <n v="6487.37"/>
        <n v="4599.18"/>
        <n v="7552.28"/>
        <n v="3505.39"/>
        <n v="6238.36"/>
        <n v="8198.95"/>
        <n v="5597.27"/>
        <n v="9069.22"/>
        <n v="8076.8"/>
        <n v="9304.91"/>
        <n v="7146.45"/>
        <n v="7360.77"/>
        <n v="3920.97"/>
        <n v="4257.78"/>
        <n v="4266.84"/>
        <n v="4730.62"/>
        <n v="6603.72"/>
        <n v="4144.67"/>
        <n v="4806.93"/>
        <n v="8414.31"/>
        <n v="6176.53"/>
        <n v="4188.31"/>
        <n v="8802.18"/>
        <n v="7320.01"/>
        <n v="4173.33"/>
        <n v="7646.63"/>
        <n v="8639.69"/>
        <n v="4440.89"/>
        <n v="3399.61"/>
        <n v="3275.4"/>
        <n v="9537.13"/>
        <n v="3291.01"/>
        <n v="9755.83"/>
        <n v="7473.84"/>
        <n v="6609.17"/>
        <n v="3977.56"/>
        <n v="7932.77"/>
        <n v="9789.38"/>
        <n v="6106.25"/>
        <n v="7848.38"/>
        <n v="7782.74"/>
        <n v="9082.33"/>
        <n v="9516.64"/>
        <n v="4509.73"/>
        <n v="7558.63"/>
        <n v="9995.9"/>
        <n v="5848.36"/>
        <n v="6969.11"/>
        <n v="5828.98"/>
        <n v="8654.92"/>
        <n v="6049.08"/>
        <n v="6811.42"/>
        <n v="5565.23"/>
        <n v="5719.91"/>
        <n v="5612.76"/>
        <n v="7224.14"/>
        <n v="6244.46"/>
      </sharedItems>
    </cacheField>
    <cacheField name="Spend ($)" numFmtId="0">
      <sharedItems containsSemiMixedTypes="0" containsString="0" containsNumber="1" minValue="0" maxValue="10987.73" count="500">
        <n v="6100.84"/>
        <n v="6089.05"/>
        <n v="3610.48"/>
        <n v="6414.34"/>
        <n v="7623.98"/>
        <n v="3818.06"/>
        <n v="5345.17"/>
        <n v="3529.68"/>
        <n v="6412.65"/>
        <n v="6452.63"/>
        <n v="6173.28"/>
        <n v="10507.01"/>
        <n v="4256.22"/>
        <n v="5087.49"/>
        <n v="3476.63"/>
        <n v="6824.35"/>
        <n v="5840.17"/>
        <n v="9115.59"/>
        <n v="7735.42"/>
        <n v="3556.82"/>
        <n v="5042.29"/>
        <n v="4861.13"/>
        <n v="4148.56"/>
        <n v="10222.04"/>
        <n v="3174.29"/>
        <n v="8357.33"/>
        <n v="4598.91"/>
        <n v="6621.4"/>
        <n v="4646.53"/>
        <n v="7956.67"/>
        <n v="3890.78"/>
        <n v="7145.75"/>
        <n v="6181.42"/>
        <n v="3039.6"/>
        <n v="4953.84"/>
        <n v="4380.23"/>
        <n v="3787.54"/>
        <n v="4454.33"/>
        <n v="7890.55"/>
        <n v="4597.8"/>
        <n v="9247.58"/>
        <n v="3274.11"/>
        <n v="9234.13"/>
        <n v="6083.56"/>
        <n v="3460.09"/>
        <n v="5028.96"/>
        <n v="6053.01"/>
        <n v="4520.42"/>
        <n v="4050.37"/>
        <n v="5315.67"/>
        <n v="8158.82"/>
        <n v="7041.12"/>
        <n v="7924.43"/>
        <n v="7371.45"/>
        <n v="7142.77"/>
        <n v="7929.09"/>
        <n v="3210.75"/>
        <n v="2971.61"/>
        <n v="6406.14"/>
        <n v="6169.54"/>
        <n v="4493.37"/>
        <n v="8020.49"/>
        <n v="8428.95"/>
        <n v="3885.45"/>
        <n v="9209.25"/>
        <n v="5541.31"/>
        <n v="9522.38"/>
        <n v="3045.21"/>
        <n v="5815.99"/>
        <n v="6127.22"/>
        <n v="6892.92"/>
        <n v="4632.29"/>
        <n v="5404.19"/>
        <n v="8920.27"/>
        <n v="3327.86"/>
        <n v="5140.6"/>
        <n v="9145.8"/>
        <n v="6342.93"/>
        <n v="4439.78"/>
        <n v="3150.05"/>
        <n v="10409.08"/>
        <n v="4498.81"/>
        <n v="6537.02"/>
        <n v="7969.31"/>
        <n v="8018.06"/>
        <n v="7455.26"/>
        <n v="5796.14"/>
        <n v="8361.63"/>
        <n v="9344.83"/>
        <n v="7187.78"/>
        <n v="9038.44"/>
        <n v="8955.01"/>
        <n v="8545.04"/>
        <n v="9144.79"/>
        <n v="4661.97"/>
        <n v="3055.46"/>
        <n v="4891.91"/>
        <n v="3414.01"/>
        <n v="3720.9"/>
        <n v="4451.51"/>
        <n v="3225.3"/>
        <n v="7595.04"/>
        <n v="5932.1"/>
        <n v="4561.4"/>
        <n v="3459.6"/>
        <n v="7263.22"/>
        <n v="3583.48"/>
        <n v="7986.64"/>
        <n v="9891"/>
        <n v="6742.3"/>
        <n v="5642.03"/>
        <n v="3102.62"/>
        <n v="9087.97"/>
        <n v="3491.33"/>
        <n v="3918.2"/>
        <n v="7241.7"/>
        <n v="5553.46"/>
        <n v="8973.91"/>
        <n v="3468.56"/>
        <n v="7683.16"/>
        <n v="5677.09"/>
        <n v="7381.5"/>
        <n v="10424.93"/>
        <n v="2893.8"/>
        <n v="3679.05"/>
        <n v="5512.59"/>
        <n v="7696.77"/>
        <n v="7788.01"/>
        <n v="8479.83"/>
        <n v="4348.91"/>
        <n v="9176.46"/>
        <n v="7610.3"/>
        <n v="8366.54"/>
        <n v="6881.66"/>
        <n v="6850.12"/>
        <n v="8497.14"/>
        <n v="7725.86"/>
        <n v="10472.47"/>
        <n v="6936.91"/>
        <n v="5309.96"/>
        <n v="8856.09"/>
        <n v="5280.32"/>
        <n v="6494.59"/>
        <n v="3219.42"/>
        <n v="6084.32"/>
        <n v="6498.02"/>
        <n v="6548.82"/>
        <n v="9037.5"/>
        <n v="9421.04"/>
        <n v="7552.83"/>
        <n v="8165.91"/>
        <n v="7787.31"/>
        <n v="2896.55"/>
        <n v="3200.48"/>
        <n v="8016.84"/>
        <n v="4981.33"/>
        <n v="4971.32"/>
        <n v="7958.07"/>
        <n v="7349.17"/>
        <n v="7501.35"/>
        <n v="7470.4"/>
        <n v="7210.26"/>
        <n v="2934.18"/>
        <n v="8647.45"/>
        <n v="4232.23"/>
        <n v="5337.16"/>
        <n v="10762.21"/>
        <n v="6029.18"/>
        <n v="6614.68"/>
        <n v="9501.64"/>
        <n v="6750.32"/>
        <n v="7372.9"/>
        <n v="5878.49"/>
        <n v="3964.73"/>
        <n v="10304.67"/>
        <n v="5806.31"/>
        <n v="3596.33"/>
        <n v="10987.73"/>
        <n v="9082.29"/>
        <n v="4424.67"/>
        <n v="9502.72"/>
        <n v="7589.75"/>
        <n v="3800.49"/>
        <n v="8036.77"/>
        <n v="6645.65"/>
        <n v="4893.67"/>
        <n v="8170.73"/>
        <n v="3776.32"/>
        <n v="5328.53"/>
        <n v="6494.25"/>
        <n v="6829.49"/>
        <n v="7786.39"/>
        <n v="4343.72"/>
        <n v="4508.39"/>
        <n v="5794.63"/>
        <n v="3851.35"/>
        <n v="3294.61"/>
        <n v="6397.37"/>
        <n v="8741.17"/>
        <n v="3607.64"/>
        <n v="3695.61"/>
        <n v="3027.78"/>
        <n v="4041.15"/>
        <n v="6358.58"/>
        <n v="6097.63"/>
        <n v="7729.97"/>
        <n v="8854.98"/>
        <n v="4068.66"/>
        <n v="6673.22"/>
        <n v="6676.44"/>
        <n v="8541.5"/>
        <n v="5596.04"/>
        <n v="5872.08"/>
        <n v="4546.76"/>
        <n v="4024.28"/>
        <n v="9031.27"/>
        <n v="8094.01"/>
        <n v="6597.87"/>
        <n v="5047.77"/>
        <n v="5507.08"/>
        <n v="6019.73"/>
        <n v="3870.78"/>
        <n v="4004.97"/>
        <n v="4256.37"/>
        <n v="3409.75"/>
        <n v="8233.29"/>
        <n v="10370.06"/>
        <n v="4090.61"/>
        <n v="9192.22"/>
        <n v="5112.85"/>
        <n v="4884.67"/>
        <n v="3919.31"/>
        <n v="4891.74"/>
        <n v="6111.84"/>
        <n v="4500.97"/>
        <n v="8904.04"/>
        <n v="4803.77"/>
        <n v="6749.86"/>
        <n v="5871.24"/>
        <n v="8167.91"/>
        <n v="8174.94"/>
        <n v="7961.38"/>
        <n v="4131.9"/>
        <n v="3520.77"/>
        <n v="7326.54"/>
        <n v="8388.45"/>
        <n v="5546.01"/>
        <n v="5233.73"/>
        <n v="4948.68"/>
        <n v="7294.42"/>
        <n v="4131.2"/>
        <n v="4498.77"/>
        <n v="7047.17"/>
        <n v="7203.83"/>
        <n v="4849.3"/>
        <n v="7190.08"/>
        <n v="5644.76"/>
        <n v="7481.49"/>
        <n v="7250.79"/>
        <n v="8184.75"/>
        <n v="7565.47"/>
        <n v="4631.17"/>
        <n v="6518.85"/>
        <n v="8147.86"/>
        <n v="6432.87"/>
        <n v="9829.94"/>
        <n v="8481.08"/>
        <n v="3957.48"/>
        <n v="6093.86"/>
        <n v="8865.23"/>
        <n v="10405.1"/>
        <n v="10021.8"/>
        <n v="6565.68"/>
        <n v="5564.81"/>
        <n v="4904.8"/>
        <n v="8531.94"/>
        <n v="7637.38"/>
        <n v="5194.27"/>
        <n v="6006.32"/>
        <n v="5393.78"/>
        <n v="3088.76"/>
        <n v="8215.83"/>
        <n v="3953.82"/>
        <n v="5878.4"/>
        <n v="4779.58"/>
        <n v="3515.38"/>
        <n v="5700.19"/>
        <n v="5909.54"/>
        <n v="5618.94"/>
        <n v="4523.65"/>
        <n v="4946.46"/>
        <n v="4733.55"/>
        <n v="7993.2"/>
        <n v="3958.73"/>
        <n v="2608.38"/>
        <n v="4232.06"/>
        <n v="3226.51"/>
        <n v="9430.98"/>
        <n v="6613.35"/>
        <n v="7455.66"/>
        <n v="3599.62"/>
        <n v="6560.3"/>
        <n v="7872.09"/>
        <n v="5528.22"/>
        <n v="6800.32"/>
        <n v="5377.02"/>
        <n v="7026.98"/>
        <n v="6850.38"/>
        <n v="4821.48"/>
        <n v="6723.82"/>
        <n v="4176.17"/>
        <n v="5687.9"/>
        <n v="3361.16"/>
        <n v="6206.94"/>
        <n v="7929.79"/>
        <n v="2587.93"/>
        <n v="8927.81"/>
        <n v="6526.96"/>
        <n v="5426.88"/>
        <n v="2829.06"/>
        <n v="3511.38"/>
        <n v="5075.89"/>
        <n v="7142.72"/>
        <n v="6326.66"/>
        <n v="7026.51"/>
        <n v="4731.99"/>
        <n v="6338.94"/>
        <n v="6985.62"/>
        <n v="7681.5"/>
        <n v="5281.79"/>
        <n v="8668.19"/>
        <n v="6477.59"/>
        <n v="7923.66"/>
        <n v="5237.65"/>
        <n v="9289.8"/>
        <n v="7669.96"/>
        <n v="4495.23"/>
        <n v="10738.67"/>
        <n v="8554.9"/>
        <n v="7496.33"/>
        <n v="7008.66"/>
        <n v="10613.34"/>
        <n v="9516.41"/>
        <n v="7139.65"/>
        <n v="3854.79"/>
        <n v="7102.07"/>
        <n v="3093.03"/>
        <n v="7644.22"/>
        <n v="9061.59"/>
        <n v="3364.32"/>
        <n v="8745.96"/>
        <n v="9445.3"/>
        <n v="7705.54"/>
        <n v="7851.64"/>
        <n v="7752.33"/>
        <n v="7115.21"/>
        <n v="4858.31"/>
        <n v="3766.73"/>
        <n v="9203.54"/>
        <n v="6713.96"/>
        <n v="7031.65"/>
        <n v="9917.44"/>
        <n v="6200.6"/>
        <n v="5004.47"/>
        <n v="6919.07"/>
        <n v="3668.73"/>
        <n v="7653.98"/>
        <n v="10420.99"/>
        <n v="8491.31"/>
        <n v="8380.83"/>
        <n v="7555.18"/>
        <n v="6609.33"/>
        <n v="3870.62"/>
        <n v="4166.87"/>
        <n v="9422.08"/>
        <n v="5663.71"/>
        <n v="4924.13"/>
        <n v="5334.24"/>
        <n v="6404"/>
        <n v="6105.07"/>
        <n v="7933.59"/>
        <n v="6125.66"/>
        <n v="8560.83"/>
        <n v="9184.53"/>
        <n v="7914.16"/>
        <n v="7008.67"/>
        <n v="7362.19"/>
        <n v="3513.97"/>
        <n v="4312.57"/>
        <n v="5254.37"/>
        <n v="8009.03"/>
        <n v="4771.42"/>
        <n v="7038.62"/>
        <n v="7392.38"/>
        <n v="8019.71"/>
        <n v="9621.46"/>
        <n v="5170.33"/>
        <n v="6394.31"/>
        <n v="3524.25"/>
        <n v="10025.67"/>
        <n v="6707.55"/>
        <n v="4984.07"/>
        <n v="7267.6"/>
        <n v="9259.87"/>
        <n v="4304.73"/>
        <n v="3748.65"/>
        <n v="6686.79"/>
        <n v="3772.18"/>
        <n v="5887.96"/>
        <n v="5387.81"/>
        <n v="8045.68"/>
        <n v="3203.46"/>
        <n v="8525.25"/>
        <n v="4559.12"/>
        <n v="8845.11"/>
        <n v="6197.55"/>
        <n v="9304.19"/>
        <n v="5320.73"/>
        <n v="7245.95"/>
        <n v="5277"/>
        <n v="5074.69"/>
        <n v="4970.8"/>
        <n v="5425.49"/>
        <n v="5084.47"/>
        <n v="6867.71"/>
        <n v="3258.78"/>
        <n v="3796.26"/>
        <n v="7663.06"/>
        <n v="5049.05"/>
        <n v="4417.84"/>
        <n v="4852.84"/>
        <n v="8140.68"/>
        <n v="3468.79"/>
        <n v="6431.55"/>
        <n v="3237.28"/>
        <n v="9226.19"/>
        <n v="5615.11"/>
        <n v="8932.8"/>
        <n v="6123.52"/>
        <n v="6695.78"/>
        <n v="4010.16"/>
        <n v="4955.12"/>
        <n v="4432.61"/>
        <n v="6270.75"/>
        <n v="5054.04"/>
        <n v="6493.92"/>
        <n v="2836.55"/>
        <n v="6615.67"/>
        <n v="7605.74"/>
        <n v="6136.26"/>
        <n v="8829.82"/>
        <n v="7640.66"/>
        <n v="8621.15"/>
        <n v="7673.21"/>
        <n v="7283.25"/>
        <n v="3978.79"/>
        <n v="3709.65"/>
        <n v="4507.13"/>
        <n v="5020.25"/>
        <n v="5994.66"/>
        <n v="3802.01"/>
        <n v="4792.61"/>
        <n v="7061.81"/>
        <n v="5378.62"/>
        <n v="4003.74"/>
        <n v="8179.57"/>
        <n v="7408.09"/>
        <n v="3384.58"/>
        <n v="7206.1"/>
        <n v="8428.94"/>
        <n v="3701.82"/>
        <n v="3261.42"/>
        <n v="2740.31"/>
        <n v="8534.27"/>
        <n v="2779.27"/>
        <n v="7819.12"/>
        <n v="7925.08"/>
        <n v="6256.6"/>
        <n v="3217.81"/>
        <n v="6826.59"/>
        <n v="8107.27"/>
        <n v="6475.33"/>
        <n v="8252.06"/>
        <n v="7387.01"/>
        <n v="8820.6"/>
        <n v="9581.91"/>
        <n v="4499.2"/>
        <n v="6288.61"/>
        <n v="8141.3"/>
        <n v="6206.43"/>
        <n v="7119.19"/>
        <n v="5235.06"/>
        <n v="8903.19"/>
        <n v="6323.41"/>
        <n v="5460.9"/>
        <n v="5113.62"/>
        <n v="5345.87"/>
        <n v="4872.89"/>
        <n v="7227.49"/>
        <n v="5707.04"/>
      </sharedItems>
    </cacheField>
    <cacheField name="Impressions" numFmtId="3">
      <sharedItems containsSemiMixedTypes="0" containsString="0" containsNumber="1" containsInteger="1" minValue="0" maxValue="199789" count="500">
        <n v="120704"/>
        <n v="64473"/>
        <n v="113908"/>
        <n v="91921"/>
        <n v="191026"/>
        <n v="127588"/>
        <n v="72336"/>
        <n v="64153"/>
        <n v="53911"/>
        <n v="185980"/>
        <n v="195024"/>
        <n v="54909"/>
        <n v="69520"/>
        <n v="126413"/>
        <n v="76429"/>
        <n v="59367"/>
        <n v="186370"/>
        <n v="177209"/>
        <n v="113245"/>
        <n v="134800"/>
        <n v="128160"/>
        <n v="156949"/>
        <n v="138676"/>
        <n v="133918"/>
        <n v="116892"/>
        <n v="187598"/>
        <n v="145792"/>
        <n v="144942"/>
        <n v="81620"/>
        <n v="73683"/>
        <n v="69783"/>
        <n v="154773"/>
        <n v="69731"/>
        <n v="188839"/>
        <n v="146830"/>
        <n v="114426"/>
        <n v="78896"/>
        <n v="114833"/>
        <n v="86560"/>
        <n v="74753"/>
        <n v="177534"/>
        <n v="179996"/>
        <n v="169629"/>
        <n v="103534"/>
        <n v="157185"/>
        <n v="114793"/>
        <n v="175219"/>
        <n v="100064"/>
        <n v="61208"/>
        <n v="64306"/>
        <n v="160805"/>
        <n v="169372"/>
        <n v="77537"/>
        <n v="111631"/>
        <n v="102718"/>
        <n v="79647"/>
        <n v="155333"/>
        <n v="81389"/>
        <n v="146743"/>
        <n v="121778"/>
        <n v="145652"/>
        <n v="80391"/>
        <n v="136864"/>
        <n v="135649"/>
        <n v="75522"/>
        <n v="180933"/>
        <n v="130681"/>
        <n v="162389"/>
        <n v="94836"/>
        <n v="191486"/>
        <n v="138384"/>
        <n v="72528"/>
        <n v="173181"/>
        <n v="107709"/>
        <n v="86473"/>
        <n v="94803"/>
        <n v="55244"/>
        <n v="103713"/>
        <n v="110834"/>
        <n v="122735"/>
        <n v="188008"/>
        <n v="139883"/>
        <n v="138325"/>
        <n v="82264"/>
        <n v="88706"/>
        <n v="141755"/>
        <n v="97675"/>
        <n v="155967"/>
        <n v="154219"/>
        <n v="133842"/>
        <n v="126153"/>
        <n v="83386"/>
        <n v="137986"/>
        <n v="103318"/>
        <n v="163071"/>
        <n v="115973"/>
        <n v="58155"/>
        <n v="121100"/>
        <n v="129730"/>
        <n v="51577"/>
        <n v="147591"/>
        <n v="189630"/>
        <n v="175761"/>
        <n v="151629"/>
        <n v="120702"/>
        <n v="176077"/>
        <n v="134667"/>
        <n v="178492"/>
        <n v="145812"/>
        <n v="186329"/>
        <n v="147883"/>
        <n v="134164"/>
        <n v="127750"/>
        <n v="99153"/>
        <n v="171690"/>
        <n v="196304"/>
        <n v="184625"/>
        <n v="65860"/>
        <n v="149919"/>
        <n v="124319"/>
        <n v="149623"/>
        <n v="53378"/>
        <n v="165946"/>
        <n v="66013"/>
        <n v="163376"/>
        <n v="139628"/>
        <n v="62770"/>
        <n v="129840"/>
        <n v="81087"/>
        <n v="199475"/>
        <n v="197123"/>
        <n v="139183"/>
        <n v="144975"/>
        <n v="77279"/>
        <n v="195662"/>
        <n v="168167"/>
        <n v="163943"/>
        <n v="137121"/>
        <n v="174799"/>
        <n v="58780"/>
        <n v="198199"/>
        <n v="103994"/>
        <n v="149870"/>
        <n v="77061"/>
        <n v="70716"/>
        <n v="81757"/>
        <n v="127949"/>
        <n v="130404"/>
        <n v="162097"/>
        <n v="154555"/>
        <n v="56338"/>
        <n v="168488"/>
        <n v="70782"/>
        <n v="187830"/>
        <n v="77085"/>
        <n v="181387"/>
        <n v="161384"/>
        <n v="115218"/>
        <n v="86944"/>
        <n v="126890"/>
        <n v="119094"/>
        <n v="120570"/>
        <n v="173652"/>
        <n v="53244"/>
        <n v="197753"/>
        <n v="95888"/>
        <n v="130274"/>
        <n v="53089"/>
        <n v="110033"/>
        <n v="75315"/>
        <n v="194023"/>
        <n v="105156"/>
        <n v="136337"/>
        <n v="191309"/>
        <n v="143568"/>
        <n v="69711"/>
        <n v="114949"/>
        <n v="128670"/>
        <n v="92405"/>
        <n v="113689"/>
        <n v="72317"/>
        <n v="59223"/>
        <n v="123058"/>
        <n v="133482"/>
        <n v="130705"/>
        <n v="168213"/>
        <n v="55771"/>
        <n v="158774"/>
        <n v="167161"/>
        <n v="54315"/>
        <n v="112474"/>
        <n v="76227"/>
        <n v="85573"/>
        <n v="156215"/>
        <n v="83163"/>
        <n v="122395"/>
        <n v="148880"/>
        <n v="150378"/>
        <n v="141253"/>
        <n v="171015"/>
        <n v="127713"/>
        <n v="95400"/>
        <n v="154562"/>
        <n v="100148"/>
        <n v="109858"/>
        <n v="158340"/>
        <n v="114026"/>
        <n v="188606"/>
        <n v="137418"/>
        <n v="195298"/>
        <n v="191329"/>
        <n v="118663"/>
        <n v="55825"/>
        <n v="53730"/>
        <n v="177951"/>
        <n v="52910"/>
        <n v="57737"/>
        <n v="167465"/>
        <n v="133310"/>
        <n v="113210"/>
        <n v="186208"/>
        <n v="197176"/>
        <n v="138708"/>
        <n v="198805"/>
        <n v="89656"/>
        <n v="99291"/>
        <n v="111502"/>
        <n v="85109"/>
        <n v="92367"/>
        <n v="149385"/>
        <n v="134522"/>
        <n v="178747"/>
        <n v="73811"/>
        <n v="61124"/>
        <n v="65992"/>
        <n v="80479"/>
        <n v="65167"/>
        <n v="109928"/>
        <n v="155287"/>
        <n v="78740"/>
        <n v="158786"/>
        <n v="158182"/>
        <n v="70430"/>
        <n v="53472"/>
        <n v="65231"/>
        <n v="136646"/>
        <n v="106358"/>
        <n v="179651"/>
        <n v="87263"/>
        <n v="142706"/>
        <n v="197165"/>
        <n v="141042"/>
        <n v="103661"/>
        <n v="71137"/>
        <n v="109146"/>
        <n v="119284"/>
        <n v="192983"/>
        <n v="121420"/>
        <n v="157129"/>
        <n v="194986"/>
        <n v="75023"/>
        <n v="190925"/>
        <n v="166397"/>
        <n v="77672"/>
        <n v="127332"/>
        <n v="155035"/>
        <n v="148308"/>
        <n v="74611"/>
        <n v="196435"/>
        <n v="50483"/>
        <n v="156463"/>
        <n v="128263"/>
        <n v="52499"/>
        <n v="67097"/>
        <n v="191774"/>
        <n v="178702"/>
        <n v="70461"/>
        <n v="105961"/>
        <n v="70597"/>
        <n v="99708"/>
        <n v="170519"/>
        <n v="124323"/>
        <n v="92675"/>
        <n v="71769"/>
        <n v="61798"/>
        <n v="78277"/>
        <n v="65823"/>
        <n v="146175"/>
        <n v="102654"/>
        <n v="68829"/>
        <n v="112356"/>
        <n v="195477"/>
        <n v="161797"/>
        <n v="191829"/>
        <n v="54030"/>
        <n v="134964"/>
        <n v="99410"/>
        <n v="152642"/>
        <n v="111235"/>
        <n v="195593"/>
        <n v="191906"/>
        <n v="163874"/>
        <n v="173144"/>
        <n v="131078"/>
        <n v="171377"/>
        <n v="118229"/>
        <n v="93966"/>
        <n v="180247"/>
        <n v="80643"/>
        <n v="175493"/>
        <n v="125145"/>
        <n v="197509"/>
        <n v="158254"/>
        <n v="50360"/>
        <n v="98472"/>
        <n v="154581"/>
        <n v="68618"/>
        <n v="95395"/>
        <n v="87162"/>
        <n v="54764"/>
        <n v="141976"/>
        <n v="85169"/>
        <n v="75206"/>
        <n v="185576"/>
        <n v="156872"/>
        <n v="115212"/>
        <n v="106540"/>
        <n v="110667"/>
        <n v="76558"/>
        <n v="83532"/>
        <n v="149998"/>
        <n v="171861"/>
        <n v="111608"/>
        <n v="115362"/>
        <n v="166037"/>
        <n v="116079"/>
        <n v="67946"/>
        <n v="123947"/>
        <n v="68639"/>
        <n v="158533"/>
        <n v="74923"/>
        <n v="196954"/>
        <n v="103912"/>
        <n v="135367"/>
        <n v="154277"/>
        <n v="194871"/>
        <n v="57427"/>
        <n v="192331"/>
        <n v="66208"/>
        <n v="132053"/>
        <n v="195707"/>
        <n v="106946"/>
        <n v="170434"/>
        <n v="61724"/>
        <n v="194762"/>
        <n v="188259"/>
        <n v="99224"/>
        <n v="83109"/>
        <n v="111688"/>
        <n v="134861"/>
        <n v="176820"/>
        <n v="86387"/>
        <n v="53430"/>
        <n v="164936"/>
        <n v="152738"/>
        <n v="76927"/>
        <n v="69189"/>
        <n v="127993"/>
        <n v="124998"/>
        <n v="107520"/>
        <n v="117796"/>
        <n v="56417"/>
        <n v="133159"/>
        <n v="184724"/>
        <n v="184680"/>
        <n v="89044"/>
        <n v="146101"/>
        <n v="130452"/>
        <n v="115837"/>
        <n v="186219"/>
        <n v="165044"/>
        <n v="181245"/>
        <n v="125026"/>
        <n v="172320"/>
        <n v="169951"/>
        <n v="117094"/>
        <n v="54766"/>
        <n v="197025"/>
        <n v="119124"/>
        <n v="68519"/>
        <n v="140986"/>
        <n v="175888"/>
        <n v="187533"/>
        <n v="91252"/>
        <n v="145695"/>
        <n v="165271"/>
        <n v="69967"/>
        <n v="193477"/>
        <n v="180485"/>
        <n v="149220"/>
        <n v="128069"/>
        <n v="50640"/>
        <n v="159631"/>
        <n v="92070"/>
        <n v="138224"/>
        <n v="63940"/>
        <n v="192599"/>
        <n v="65526"/>
        <n v="149688"/>
        <n v="118998"/>
        <n v="115280"/>
        <n v="129278"/>
        <n v="113951"/>
        <n v="160215"/>
        <n v="176532"/>
        <n v="93893"/>
        <n v="70743"/>
        <n v="84061"/>
        <n v="108436"/>
        <n v="143676"/>
        <n v="76424"/>
        <n v="131046"/>
        <n v="69001"/>
        <n v="179928"/>
        <n v="151737"/>
        <n v="188031"/>
        <n v="55760"/>
        <n v="94851"/>
        <n v="134423"/>
        <n v="111462"/>
        <n v="102748"/>
        <n v="180765"/>
        <n v="143614"/>
        <n v="174898"/>
        <n v="179667"/>
        <n v="142353"/>
        <n v="161295"/>
        <n v="72755"/>
        <n v="136413"/>
        <n v="190122"/>
        <n v="84930"/>
        <n v="120822"/>
        <n v="108943"/>
        <n v="145244"/>
        <n v="174584"/>
        <n v="187179"/>
        <n v="113319"/>
        <n v="97411"/>
        <n v="172776"/>
        <n v="117252"/>
        <n v="149827"/>
        <n v="148415"/>
        <n v="96330"/>
        <n v="96745"/>
        <n v="66585"/>
        <n v="192117"/>
        <n v="194804"/>
        <n v="91032"/>
        <n v="116506"/>
        <n v="55887"/>
        <n v="111392"/>
        <n v="127536"/>
        <n v="72374"/>
        <n v="194426"/>
        <n v="63381"/>
        <n v="109943"/>
        <n v="142900"/>
        <n v="197974"/>
        <n v="102196"/>
        <n v="72102"/>
        <n v="138622"/>
        <n v="75127"/>
        <n v="65706"/>
        <n v="59862"/>
        <n v="74195"/>
        <n v="175747"/>
        <n v="150368"/>
        <n v="199789"/>
        <n v="183098"/>
        <n v="170452"/>
        <n v="118097"/>
        <n v="115700"/>
        <n v="55522"/>
        <n v="150531"/>
        <n v="103488"/>
        <n v="84687"/>
        <n v="147771"/>
        <n v="112643"/>
        <n v="99483"/>
        <n v="166799"/>
        <n v="64146"/>
        <n v="165901"/>
        <n v="52359"/>
        <n v="158601"/>
        <n v="73610"/>
        <n v="67169"/>
        <n v="152621"/>
        <n v="107940"/>
        <n v="68836"/>
        <n v="140338"/>
      </sharedItems>
    </cacheField>
    <cacheField name="Clicks" numFmtId="3">
      <sharedItems containsSemiMixedTypes="0" containsString="0" containsNumber="1" containsInteger="1" minValue="0" maxValue="9701" count="482">
        <n v="5511"/>
        <n v="1120"/>
        <n v="5345"/>
        <n v="3787"/>
        <n v="8786"/>
        <n v="5087"/>
        <n v="1340"/>
        <n v="2806"/>
        <n v="2127"/>
        <n v="5168"/>
        <n v="9701"/>
        <n v="2182"/>
        <n v="1141"/>
        <n v="3059"/>
        <n v="2090"/>
        <n v="1348"/>
        <n v="9073"/>
        <n v="2628"/>
        <n v="4048"/>
        <n v="4917"/>
        <n v="1491"/>
        <n v="1762"/>
        <n v="4683"/>
        <n v="4771"/>
        <n v="1613"/>
        <n v="7514"/>
        <n v="2973"/>
        <n v="3629"/>
        <n v="2259"/>
        <n v="2886"/>
        <n v="2350"/>
        <n v="2872"/>
        <n v="7836"/>
        <n v="6778"/>
        <n v="4726"/>
        <n v="1812"/>
        <n v="5099"/>
        <n v="3682"/>
        <n v="1230"/>
        <n v="2754"/>
        <n v="8814"/>
        <n v="5933"/>
        <n v="3406"/>
        <n v="1409"/>
        <n v="4639"/>
        <n v="4802"/>
        <n v="1424"/>
        <n v="3037"/>
        <n v="2956"/>
        <n v="1964"/>
        <n v="2478"/>
        <n v="3060"/>
        <n v="2469"/>
        <n v="2206"/>
        <n v="2287"/>
        <n v="2501"/>
        <n v="3140"/>
        <n v="3193"/>
        <n v="2381"/>
        <n v="3086"/>
        <n v="1900"/>
        <n v="3696"/>
        <n v="5567"/>
        <n v="1938"/>
        <n v="2435"/>
        <n v="5935"/>
        <n v="4500"/>
        <n v="3956"/>
        <n v="4445"/>
        <n v="3042"/>
        <n v="1306"/>
        <n v="6365"/>
        <n v="2586"/>
        <n v="2750"/>
        <n v="2004"/>
        <n v="2028"/>
        <n v="2193"/>
        <n v="4636"/>
        <n v="2941"/>
        <n v="8592"/>
        <n v="4226"/>
        <n v="4027"/>
        <n v="3537"/>
        <n v="1251"/>
        <n v="1695"/>
        <n v="4253"/>
        <n v="1655"/>
        <n v="2086"/>
        <n v="1394"/>
        <n v="6045"/>
        <n v="1255"/>
        <n v="6053"/>
        <n v="2013"/>
        <n v="2665"/>
        <n v="4194"/>
        <n v="2713"/>
        <n v="4154"/>
        <n v="3017"/>
        <n v="1434"/>
        <n v="4755"/>
        <n v="2389"/>
        <n v="4515"/>
        <n v="4739"/>
        <n v="2467"/>
        <n v="2054"/>
        <n v="4062"/>
        <n v="2018"/>
        <n v="2588"/>
        <n v="2426"/>
        <n v="1463"/>
        <n v="3192"/>
        <n v="5551"/>
        <n v="2036"/>
        <n v="1892"/>
        <n v="8710"/>
        <n v="5858"/>
        <n v="1196"/>
        <n v="5922"/>
        <n v="3473"/>
        <n v="2483"/>
        <n v="2137"/>
        <n v="4099"/>
        <n v="1830"/>
        <n v="7011"/>
        <n v="1738"/>
        <n v="1245"/>
        <n v="5797"/>
        <n v="3895"/>
        <n v="6783"/>
        <n v="3693"/>
        <n v="5327"/>
        <n v="7116"/>
        <n v="3326"/>
        <n v="9052"/>
        <n v="4467"/>
        <n v="2848"/>
        <n v="1770"/>
        <n v="5339"/>
        <n v="1712"/>
        <n v="5993"/>
        <n v="4644"/>
        <n v="2505"/>
        <n v="1539"/>
        <n v="2637"/>
        <n v="1390"/>
        <n v="2073"/>
        <n v="3053"/>
        <n v="7152"/>
        <n v="7368"/>
        <n v="2066"/>
        <n v="6718"/>
        <n v="3197"/>
        <n v="5038"/>
        <n v="2592"/>
        <n v="7602"/>
        <n v="4375"/>
        <n v="1614"/>
        <n v="1292"/>
        <n v="3074"/>
        <n v="5829"/>
        <n v="1495"/>
        <n v="3397"/>
        <n v="1838"/>
        <n v="3883"/>
        <n v="2400"/>
        <n v="3999"/>
        <n v="1998"/>
        <n v="3132"/>
        <n v="1121"/>
        <n v="9171"/>
        <n v="3813"/>
        <n v="3490"/>
        <n v="5182"/>
        <n v="6593"/>
        <n v="1173"/>
        <n v="3456"/>
        <n v="4786"/>
        <n v="3028"/>
        <n v="4258"/>
        <n v="1429"/>
        <n v="1286"/>
        <n v="4679"/>
        <n v="2397"/>
        <n v="4818"/>
        <n v="2627"/>
        <n v="1773"/>
        <n v="5263"/>
        <n v="1156"/>
        <n v="1126"/>
        <n v="3364"/>
        <n v="1887"/>
        <n v="6524"/>
        <n v="2401"/>
        <n v="3701"/>
        <n v="1344"/>
        <n v="1516"/>
        <n v="2934"/>
        <n v="7567"/>
        <n v="1869"/>
        <n v="1371"/>
        <n v="4028"/>
        <n v="1610"/>
        <n v="3804"/>
        <n v="2273"/>
        <n v="4773"/>
        <n v="1714"/>
        <n v="4255"/>
        <n v="3830"/>
        <n v="5806"/>
        <n v="2481"/>
        <n v="2436"/>
        <n v="2251"/>
        <n v="3898"/>
        <n v="1772"/>
        <n v="1530"/>
        <n v="5881"/>
        <n v="4783"/>
        <n v="1277"/>
        <n v="1504"/>
        <n v="7746"/>
        <n v="3409"/>
        <n v="7934"/>
        <n v="1499"/>
        <n v="1323"/>
        <n v="5082"/>
        <n v="1336"/>
        <n v="1602"/>
        <n v="1524"/>
        <n v="2228"/>
        <n v="7649"/>
        <n v="3452"/>
        <n v="2912"/>
        <n v="3184"/>
        <n v="3812"/>
        <n v="3118"/>
        <n v="2600"/>
        <n v="6156"/>
        <n v="2383"/>
        <n v="2402"/>
        <n v="3562"/>
        <n v="1779"/>
        <n v="2231"/>
        <n v="2540"/>
        <n v="1150"/>
        <n v="4479"/>
        <n v="3752"/>
        <n v="4101"/>
        <n v="8105"/>
        <n v="2816"/>
        <n v="3336"/>
        <n v="2638"/>
        <n v="3124"/>
        <n v="1389"/>
        <n v="4396"/>
        <n v="2619"/>
        <n v="6144"/>
        <n v="2202"/>
        <n v="2918"/>
        <n v="4618"/>
        <n v="1945"/>
        <n v="2185"/>
        <n v="4365"/>
        <n v="4402"/>
        <n v="5069"/>
        <n v="2423"/>
        <n v="5991"/>
        <n v="1111"/>
        <n v="3470"/>
        <n v="5531"/>
        <n v="1190"/>
        <n v="6884"/>
        <n v="4580"/>
        <n v="2962"/>
        <n v="4343"/>
        <n v="2706"/>
        <n v="4677"/>
        <n v="7134"/>
        <n v="2448"/>
        <n v="1207"/>
        <n v="3290"/>
        <n v="1170"/>
        <n v="1049"/>
        <n v="1946"/>
        <n v="4465"/>
        <n v="1090"/>
        <n v="4894"/>
        <n v="3560"/>
        <n v="6944"/>
        <n v="3686"/>
        <n v="2101"/>
        <n v="2504"/>
        <n v="4795"/>
        <n v="2474"/>
        <n v="4808"/>
        <n v="5136"/>
        <n v="3380"/>
        <n v="4357"/>
        <n v="7537"/>
        <n v="4550"/>
        <n v="4129"/>
        <n v="1135"/>
        <n v="2601"/>
        <n v="6040"/>
        <n v="2915"/>
        <n v="7200"/>
        <n v="8448"/>
        <n v="1254"/>
        <n v="1689"/>
        <n v="4803"/>
        <n v="6093"/>
        <n v="3036"/>
        <n v="4443"/>
        <n v="1775"/>
        <n v="1698"/>
        <n v="6294"/>
        <n v="1081"/>
        <n v="8158"/>
        <n v="6177"/>
        <n v="2331"/>
        <n v="3157"/>
        <n v="2560"/>
        <n v="2247"/>
        <n v="3585"/>
        <n v="5998"/>
        <n v="2743"/>
        <n v="4858"/>
        <n v="1929"/>
        <n v="3243"/>
        <n v="1270"/>
        <n v="4068"/>
        <n v="3348"/>
        <n v="6076"/>
        <n v="3598"/>
        <n v="4588"/>
        <n v="1528"/>
        <n v="1109"/>
        <n v="3322"/>
        <n v="7907"/>
        <n v="1092"/>
        <n v="2108"/>
        <n v="2170"/>
        <n v="4867"/>
        <n v="8454"/>
        <n v="4278"/>
        <n v="6373"/>
        <n v="1074"/>
        <n v="1009"/>
        <n v="3527"/>
        <n v="3662"/>
        <n v="3984"/>
        <n v="3399"/>
        <n v="1932"/>
        <n v="2059"/>
        <n v="2126"/>
        <n v="4651"/>
        <n v="4601"/>
        <n v="1398"/>
        <n v="1438"/>
        <n v="3954"/>
        <n v="5305"/>
        <n v="2015"/>
        <n v="2121"/>
        <n v="6315"/>
        <n v="5850"/>
        <n v="7103"/>
        <n v="2861"/>
        <n v="1999"/>
        <n v="4881"/>
        <n v="5035"/>
        <n v="6823"/>
        <n v="3343"/>
        <n v="4787"/>
        <n v="4106"/>
        <n v="5189"/>
        <n v="5839"/>
        <n v="1370"/>
        <n v="2723"/>
        <n v="6420"/>
        <n v="3940"/>
        <n v="3190"/>
        <n v="2922"/>
        <n v="8565"/>
        <n v="7387"/>
        <n v="1758"/>
        <n v="2785"/>
        <n v="1422"/>
        <n v="8585"/>
        <n v="1392"/>
        <n v="5688"/>
        <n v="2283"/>
        <n v="1609"/>
        <n v="5836"/>
        <n v="2984"/>
        <n v="4150"/>
        <n v="2107"/>
        <n v="7700"/>
        <n v="2744"/>
        <n v="5146"/>
        <n v="1453"/>
        <n v="3264"/>
        <n v="5246"/>
        <n v="4911"/>
        <n v="4360"/>
        <n v="2317"/>
        <n v="1210"/>
        <n v="3545"/>
        <n v="6117"/>
        <n v="1044"/>
        <n v="6398"/>
        <n v="2029"/>
        <n v="5522"/>
        <n v="6324"/>
        <n v="2257"/>
        <n v="2026"/>
        <n v="2639"/>
        <n v="2548"/>
        <n v="5187"/>
        <n v="1293"/>
        <n v="5270"/>
        <n v="4002"/>
        <n v="7877"/>
        <n v="3625"/>
        <n v="4745"/>
        <n v="7131"/>
        <n v="3434"/>
        <n v="2084"/>
        <n v="1915"/>
        <n v="1992"/>
        <n v="3924"/>
        <n v="7015"/>
        <n v="5659"/>
        <n v="9269"/>
        <n v="2346"/>
        <n v="2282"/>
        <n v="7965"/>
        <n v="4476"/>
        <n v="5041"/>
        <n v="5679"/>
        <n v="1282"/>
        <n v="3235"/>
        <n v="4361"/>
        <n v="8803"/>
        <n v="3308"/>
        <n v="4331"/>
        <n v="1060"/>
        <n v="4309"/>
        <n v="1590"/>
        <n v="1961"/>
        <n v="2729"/>
        <n v="1826"/>
        <n v="4843"/>
        <n v="3707"/>
        <n v="4290"/>
        <n v="2351"/>
        <n v="4757"/>
        <n v="3158"/>
        <n v="3012"/>
        <n v="2333"/>
        <n v="2526"/>
        <n v="7548"/>
        <n v="2680"/>
        <n v="2837"/>
        <n v="3716"/>
        <n v="8283"/>
        <n v="1117"/>
        <n v="2582"/>
        <n v="2245"/>
        <n v="3586"/>
        <n v="2459"/>
        <n v="2681"/>
        <n v="5682"/>
        <n v="4673"/>
        <n v="4587"/>
        <n v="6009"/>
        <n v="2927"/>
        <n v="3604"/>
        <n v="1523"/>
        <n v="7199"/>
        <n v="1577"/>
        <n v="2741"/>
        <n v="3169"/>
        <n v="5296"/>
      </sharedItems>
    </cacheField>
    <cacheField name="Conversions" numFmtId="3">
      <sharedItems containsSemiMixedTypes="0" containsString="0" containsNumber="1" containsInteger="1" minValue="0" maxValue="1490" count="351">
        <n v="1050"/>
        <n v="72"/>
        <n v="1004"/>
        <n v="329"/>
        <n v="423"/>
        <n v="842"/>
        <n v="236"/>
        <n v="283"/>
        <n v="315"/>
        <n v="68"/>
        <n v="801"/>
        <n v="153"/>
        <n v="134"/>
        <n v="58"/>
        <n v="69"/>
        <n v="152"/>
        <n v="1366"/>
        <n v="342"/>
        <n v="620"/>
        <n v="128"/>
        <n v="279"/>
        <n v="304"/>
        <n v="91"/>
        <n v="266"/>
        <n v="73"/>
        <n v="1465"/>
        <n v="495"/>
        <n v="222"/>
        <n v="513"/>
        <n v="324"/>
        <n v="227"/>
        <n v="389"/>
        <n v="455"/>
        <n v="1477"/>
        <n v="787"/>
        <n v="77"/>
        <n v="219"/>
        <n v="70"/>
        <n v="609"/>
        <n v="234"/>
        <n v="206"/>
        <n v="1350"/>
        <n v="149"/>
        <n v="97"/>
        <n v="463"/>
        <n v="292"/>
        <n v="261"/>
        <n v="504"/>
        <n v="50"/>
        <n v="323"/>
        <n v="264"/>
        <n v="221"/>
        <n v="139"/>
        <n v="311"/>
        <n v="402"/>
        <n v="392"/>
        <n v="385"/>
        <n v="316"/>
        <n v="536"/>
        <n v="189"/>
        <n v="599"/>
        <n v="914"/>
        <n v="231"/>
        <n v="256"/>
        <n v="667"/>
        <n v="742"/>
        <n v="181"/>
        <n v="80"/>
        <n v="651"/>
        <n v="314"/>
        <n v="491"/>
        <n v="320"/>
        <n v="165"/>
        <n v="797"/>
        <n v="274"/>
        <n v="835"/>
        <n v="453"/>
        <n v="673"/>
        <n v="146"/>
        <n v="122"/>
        <n v="420"/>
        <n v="74"/>
        <n v="249"/>
        <n v="197"/>
        <n v="748"/>
        <n v="90"/>
        <n v="403"/>
        <n v="366"/>
        <n v="76"/>
        <n v="712"/>
        <n v="425"/>
        <n v="154"/>
        <n v="277"/>
        <n v="268"/>
        <n v="649"/>
        <n v="583"/>
        <n v="288"/>
        <n v="556"/>
        <n v="340"/>
        <n v="475"/>
        <n v="163"/>
        <n v="339"/>
        <n v="393"/>
        <n v="382"/>
        <n v="232"/>
        <n v="965"/>
        <n v="179"/>
        <n v="210"/>
        <n v="705"/>
        <n v="410"/>
        <n v="151"/>
        <n v="275"/>
        <n v="514"/>
        <n v="81"/>
        <n v="480"/>
        <n v="258"/>
        <n v="271"/>
        <n v="212"/>
        <n v="119"/>
        <n v="377"/>
        <n v="63"/>
        <n v="543"/>
        <n v="92"/>
        <n v="1087"/>
        <n v="871"/>
        <n v="244"/>
        <n v="111"/>
        <n v="160"/>
        <n v="159"/>
        <n v="1126"/>
        <n v="692"/>
        <n v="157"/>
        <n v="131"/>
        <n v="540"/>
        <n v="56"/>
        <n v="460"/>
        <n v="1490"/>
        <n v="117"/>
        <n v="62"/>
        <n v="250"/>
        <n v="614"/>
        <n v="550"/>
        <n v="104"/>
        <n v="273"/>
        <n v="619"/>
        <n v="83"/>
        <n v="204"/>
        <n v="85"/>
        <n v="1138"/>
        <n v="632"/>
        <n v="132"/>
        <n v="356"/>
        <n v="869"/>
        <n v="209"/>
        <n v="294"/>
        <n v="820"/>
        <n v="100"/>
        <n v="233"/>
        <n v="186"/>
        <n v="177"/>
        <n v="180"/>
        <n v="171"/>
        <n v="641"/>
        <n v="421"/>
        <n v="269"/>
        <n v="357"/>
        <n v="1110"/>
        <n v="349"/>
        <n v="112"/>
        <n v="713"/>
        <n v="434"/>
        <n v="185"/>
        <n v="194"/>
        <n v="107"/>
        <n v="454"/>
        <n v="397"/>
        <n v="144"/>
        <n v="253"/>
        <n v="184"/>
        <n v="286"/>
        <n v="966"/>
        <n v="857"/>
        <n v="208"/>
        <n v="512"/>
        <n v="272"/>
        <n v="818"/>
        <n v="94"/>
        <n v="252"/>
        <n v="166"/>
        <n v="60"/>
        <n v="235"/>
        <n v="224"/>
        <n v="312"/>
        <n v="427"/>
        <n v="343"/>
        <n v="192"/>
        <n v="885"/>
        <n v="240"/>
        <n v="554"/>
        <n v="127"/>
        <n v="352"/>
        <n v="494"/>
        <n v="118"/>
        <n v="887"/>
        <n v="526"/>
        <n v="124"/>
        <n v="230"/>
        <n v="394"/>
        <n v="400"/>
        <n v="211"/>
        <n v="677"/>
        <n v="426"/>
        <n v="364"/>
        <n v="193"/>
        <n v="376"/>
        <n v="646"/>
        <n v="390"/>
        <n v="354"/>
        <n v="805"/>
        <n v="102"/>
        <n v="947"/>
        <n v="108"/>
        <n v="582"/>
        <n v="285"/>
        <n v="302"/>
        <n v="558"/>
        <n v="330"/>
        <n v="700"/>
        <n v="1220"/>
        <n v="214"/>
        <n v="133"/>
        <n v="54"/>
        <n v="114"/>
        <n v="140"/>
        <n v="500"/>
        <n v="191"/>
        <n v="396"/>
        <n v="217"/>
        <n v="226"/>
        <n v="293"/>
        <n v="370"/>
        <n v="798"/>
        <n v="137"/>
        <n v="1161"/>
        <n v="1020"/>
        <n v="337"/>
        <n v="476"/>
        <n v="669"/>
        <n v="110"/>
        <n v="308"/>
        <n v="196"/>
        <n v="353"/>
        <n v="84"/>
        <n v="278"/>
        <n v="66"/>
        <n v="182"/>
        <n v="162"/>
        <n v="381"/>
        <n v="459"/>
        <n v="409"/>
        <n v="478"/>
        <n v="629"/>
        <n v="78"/>
        <n v="347"/>
        <n v="205"/>
        <n v="369"/>
        <n v="657"/>
        <n v="148"/>
        <n v="784"/>
        <n v="199"/>
        <n v="345"/>
        <n v="371"/>
        <n v="533"/>
        <n v="129"/>
        <n v="764"/>
        <n v="64"/>
        <n v="67"/>
        <n v="241"/>
        <n v="105"/>
        <n v="611"/>
        <n v="1051"/>
        <n v="213"/>
        <n v="1233"/>
        <n v="633"/>
        <n v="262"/>
        <n v="79"/>
        <n v="864"/>
        <n v="407"/>
        <n v="448"/>
        <n v="615"/>
        <n v="468"/>
        <n v="470"/>
        <n v="987"/>
        <n v="466"/>
        <n v="727"/>
        <n v="282"/>
        <n v="610"/>
        <n v="925"/>
        <n v="270"/>
        <n v="591"/>
        <n v="531"/>
        <n v="321"/>
        <n v="861"/>
        <n v="1117"/>
        <n v="447"/>
        <n v="106"/>
        <n v="281"/>
        <n v="346"/>
        <n v="623"/>
        <n v="734"/>
        <n v="156"/>
        <n v="52"/>
        <n v="461"/>
        <n v="1049"/>
        <n v="900"/>
        <n v="1140"/>
        <n v="398"/>
        <n v="363"/>
        <n v="280"/>
        <n v="362"/>
        <n v="806"/>
        <n v="555"/>
        <n v="635"/>
        <n v="303"/>
        <n v="687"/>
        <n v="225"/>
        <n v="391"/>
        <n v="101"/>
        <n v="1058"/>
        <n v="150"/>
        <n v="98"/>
        <n v="1231"/>
        <n v="202"/>
        <n v="82"/>
        <n v="147"/>
        <n v="579"/>
        <n v="675"/>
        <n v="1026"/>
        <n v="75"/>
        <n v="387"/>
        <n v="622"/>
        <n v="416"/>
        <n v="699"/>
        <n v="506"/>
        <n v="332"/>
        <n v="300"/>
        <n v="431"/>
        <n v="135"/>
        <n v="503"/>
        <n v="170"/>
        <n v="305"/>
      </sharedItems>
    </cacheField>
    <cacheField name="Revenue ($)" numFmtId="0">
      <sharedItems containsSemiMixedTypes="0" containsString="0" containsNumber="1" minValue="0" maxValue="68626.38" count="500">
        <n v="44057.81"/>
        <n v="1776.95"/>
        <n v="38185.58"/>
        <n v="16153.01"/>
        <n v="10767.36"/>
        <n v="30095.35"/>
        <n v="9051.92"/>
        <n v="8770.41"/>
        <n v="8186.92"/>
        <n v="1454.76"/>
        <n v="17583.19"/>
        <n v="6770.54"/>
        <n v="5430.62"/>
        <n v="2021.61"/>
        <n v="1915.67"/>
        <n v="5411.51"/>
        <n v="67053.58"/>
        <n v="16020.93"/>
        <n v="14045.96"/>
        <n v="3809.27"/>
        <n v="12516.53"/>
        <n v="11029.39"/>
        <n v="2023.52"/>
        <n v="6905.75"/>
        <n v="3008.02"/>
        <n v="32554.26"/>
        <n v="22717.09"/>
        <n v="4863.3"/>
        <n v="21488.64"/>
        <n v="11069.93"/>
        <n v="9720.95"/>
        <n v="13542.59"/>
        <n v="9446.97"/>
        <n v="57739.35"/>
        <n v="37167.64"/>
        <n v="3285.32"/>
        <n v="6283.67"/>
        <n v="3097.05"/>
        <n v="26863.09"/>
        <n v="8466.18"/>
        <n v="6085.26"/>
        <n v="44297.87"/>
        <n v="3011.08"/>
        <n v="5839.25"/>
        <n v="4683.87"/>
        <n v="19024.93"/>
        <n v="14271.04"/>
        <n v="7575.88"/>
        <n v="19296.61"/>
        <n v="1417.97"/>
        <n v="7864.03"/>
        <n v="7197.08"/>
        <n v="5995.54"/>
        <n v="5416.72"/>
        <n v="3451.72"/>
        <n v="7960.22"/>
        <n v="16211.43"/>
        <n v="10503.59"/>
        <n v="15680.33"/>
        <n v="7623.7"/>
        <n v="25589.07"/>
        <n v="7522.11"/>
        <n v="21497.82"/>
        <n v="42881.66"/>
        <n v="6969.48"/>
        <n v="12009.81"/>
        <n v="26187.05"/>
        <n v="34841.82"/>
        <n v="4170.99"/>
        <n v="1985.94"/>
        <n v="12777.5"/>
        <n v="3769.33"/>
        <n v="25707.33"/>
        <n v="11633.47"/>
        <n v="13726.43"/>
        <n v="10173.74"/>
        <n v="14030.19"/>
        <n v="5737.96"/>
        <n v="22653.27"/>
        <n v="6935.85"/>
        <n v="7828.58"/>
        <n v="39954.38"/>
        <n v="22155.6"/>
        <n v="21235.12"/>
        <n v="3662.38"/>
        <n v="4987.47"/>
        <n v="16149.09"/>
        <n v="2630.69"/>
        <n v="10186.71"/>
        <n v="5675.13"/>
        <n v="34417.1"/>
        <n v="3154.09"/>
        <n v="16546.78"/>
        <n v="2411.19"/>
        <n v="2987.87"/>
        <n v="13278.24"/>
        <n v="1589.54"/>
        <n v="21933.67"/>
        <n v="18317.42"/>
        <n v="3474.31"/>
        <n v="10032.68"/>
        <n v="13205.85"/>
        <n v="28462.28"/>
        <n v="13032.2"/>
        <n v="12982.87"/>
        <n v="10129.93"/>
        <n v="20281.1"/>
        <n v="10933.24"/>
        <n v="12454.41"/>
        <n v="13030.17"/>
        <n v="3330.38"/>
        <n v="7194.21"/>
        <n v="13450.51"/>
        <n v="13065.99"/>
        <n v="7413.59"/>
        <n v="20611.55"/>
        <n v="6281.84"/>
        <n v="5226.49"/>
        <n v="14660.71"/>
        <n v="18445.79"/>
        <n v="15625.13"/>
        <n v="12949.06"/>
        <n v="3906.93"/>
        <n v="5650.33"/>
        <n v="11377.73"/>
        <n v="1676.55"/>
        <n v="5862.69"/>
        <n v="22235.6"/>
        <n v="6574.5"/>
        <n v="11404.9"/>
        <n v="8444.51"/>
        <n v="10159.62"/>
        <n v="5060.61"/>
        <n v="9886.08"/>
        <n v="11159.76"/>
        <n v="1280.48"/>
        <n v="15854.56"/>
        <n v="10082.05"/>
        <n v="15636.4"/>
        <n v="3916.55"/>
        <n v="24714.23"/>
        <n v="31779.19"/>
        <n v="13828.94"/>
        <n v="10454.26"/>
        <n v="2500.08"/>
        <n v="7144.93"/>
        <n v="4035.58"/>
        <n v="4947.96"/>
        <n v="55827.12"/>
        <n v="15573.47"/>
        <n v="5138.09"/>
        <n v="4556.02"/>
        <n v="11712.11"/>
        <n v="2210.67"/>
        <n v="22477.98"/>
        <n v="68626.38"/>
        <n v="2382.66"/>
        <n v="2897.53"/>
        <n v="5553.47"/>
        <n v="21915.46"/>
        <n v="18499.93"/>
        <n v="4891.61"/>
        <n v="15960.56"/>
        <n v="10538.89"/>
        <n v="20990.88"/>
        <n v="4220.76"/>
        <n v="3398.42"/>
        <n v="9060.43"/>
        <n v="4022.86"/>
        <n v="3550.58"/>
        <n v="54603.35"/>
        <n v="13139.92"/>
        <n v="6549.61"/>
        <n v="11187.91"/>
        <n v="39235.23"/>
        <n v="5894.26"/>
        <n v="13049.79"/>
        <n v="30063.62"/>
        <n v="16194.23"/>
        <n v="2387.48"/>
        <n v="4216.91"/>
        <n v="7163.56"/>
        <n v="6623.32"/>
        <n v="2278.27"/>
        <n v="7361.64"/>
        <n v="3338.16"/>
        <n v="7278.66"/>
        <n v="5476.94"/>
        <n v="2700.22"/>
        <n v="5480.58"/>
        <n v="1977.57"/>
        <n v="24436.75"/>
        <n v="5944.56"/>
        <n v="31666.03"/>
        <n v="6435.33"/>
        <n v="10047.75"/>
        <n v="5630.4"/>
        <n v="8169.53"/>
        <n v="14289.54"/>
        <n v="23560.92"/>
        <n v="8833.3"/>
        <n v="8455.84"/>
        <n v="8775.63"/>
        <n v="4926.02"/>
        <n v="32945.85"/>
        <n v="12284.95"/>
        <n v="4724.09"/>
        <n v="6699.92"/>
        <n v="3624.74"/>
        <n v="9374.86"/>
        <n v="16049.05"/>
        <n v="13268.68"/>
        <n v="4043.13"/>
        <n v="7504.58"/>
        <n v="6676.78"/>
        <n v="7428.64"/>
        <n v="6465.78"/>
        <n v="40922.84"/>
        <n v="24435.88"/>
        <n v="7721.66"/>
        <n v="3511.94"/>
        <n v="12587.92"/>
        <n v="6962.39"/>
        <n v="38366.62"/>
        <n v="3037.32"/>
        <n v="8047.79"/>
        <n v="6632.31"/>
        <n v="6129.07"/>
        <n v="6166.63"/>
        <n v="1536.68"/>
        <n v="14197.01"/>
        <n v="9004.87"/>
        <n v="5517.32"/>
        <n v="6725.07"/>
        <n v="6811.29"/>
        <n v="18914.49"/>
        <n v="14682.74"/>
        <n v="6212.2"/>
        <n v="39752.95"/>
        <n v="14254.85"/>
        <n v="5278.77"/>
        <n v="25071.19"/>
        <n v="1979.71"/>
        <n v="5643.53"/>
        <n v="10829.25"/>
        <n v="21982"/>
        <n v="3997.89"/>
        <n v="31117.39"/>
        <n v="16577.8"/>
        <n v="4802.17"/>
        <n v="33744.35"/>
        <n v="10078.77"/>
        <n v="18445.81"/>
        <n v="1761.1"/>
        <n v="8402.39"/>
        <n v="9769.93"/>
        <n v="15786.93"/>
        <n v="3319.54"/>
        <n v="11449.83"/>
        <n v="14281.33"/>
        <n v="5317.92"/>
        <n v="6804.51"/>
        <n v="7991"/>
        <n v="14132.67"/>
        <n v="13270.98"/>
        <n v="14412.06"/>
        <n v="16363.21"/>
        <n v="13523.31"/>
        <n v="38664.96"/>
        <n v="2433.3"/>
        <n v="2421.47"/>
        <n v="33680.19"/>
        <n v="2337.43"/>
        <n v="5195.85"/>
        <n v="21022.93"/>
        <n v="8666.45"/>
        <n v="8074.92"/>
        <n v="14112.72"/>
        <n v="15656.97"/>
        <n v="27277.55"/>
        <n v="30916.12"/>
        <n v="6941.89"/>
        <n v="4663.76"/>
        <n v="2294.94"/>
        <n v="2981.58"/>
        <n v="7652.29"/>
        <n v="3158.41"/>
        <n v="4651.2"/>
        <n v="12328.6"/>
        <n v="5999.55"/>
        <n v="7510.12"/>
        <n v="2912.78"/>
        <n v="8241.9"/>
        <n v="8714.02"/>
        <n v="9943.43"/>
        <n v="7953.63"/>
        <n v="4166.8"/>
        <n v="9319.33"/>
        <n v="10653.94"/>
        <n v="18007.07"/>
        <n v="13026.85"/>
        <n v="6408.88"/>
        <n v="32255.72"/>
        <n v="3196.78"/>
        <n v="16562.32"/>
        <n v="7219.59"/>
        <n v="14921.51"/>
        <n v="44875.57"/>
        <n v="9456.33"/>
        <n v="13202.64"/>
        <n v="4507.42"/>
        <n v="18845.21"/>
        <n v="2588.58"/>
        <n v="11280.6"/>
        <n v="6155.27"/>
        <n v="11092.13"/>
        <n v="7451.04"/>
        <n v="16743.62"/>
        <n v="2987.67"/>
        <n v="11715.2"/>
        <n v="8509.11"/>
        <n v="2024.23"/>
        <n v="6732.57"/>
        <n v="7792.99"/>
        <n v="7976.42"/>
        <n v="4222.38"/>
        <n v="13782.54"/>
        <n v="9101.94"/>
        <n v="11179.32"/>
        <n v="21305.93"/>
        <n v="17715.38"/>
        <n v="1774.3"/>
        <n v="16831.97"/>
        <n v="5402.3"/>
        <n v="12154.13"/>
        <n v="9322.55"/>
        <n v="2929.99"/>
        <n v="8473.12"/>
        <n v="6989.75"/>
        <n v="10046.79"/>
        <n v="17613.07"/>
        <n v="22486.76"/>
        <n v="4376.81"/>
        <n v="6895.63"/>
        <n v="6201.79"/>
        <n v="32726.51"/>
        <n v="7200.76"/>
        <n v="8143.12"/>
        <n v="9311.13"/>
        <n v="3343.37"/>
        <n v="17871.82"/>
        <n v="4547.68"/>
        <n v="18333.21"/>
        <n v="6636.02"/>
        <n v="4210.65"/>
        <n v="9931.86"/>
        <n v="6731.19"/>
        <n v="15689.67"/>
        <n v="7377.97"/>
        <n v="6741.34"/>
        <n v="2081.76"/>
        <n v="2279.48"/>
        <n v="19744.82"/>
        <n v="9122.05"/>
        <n v="6568.5"/>
        <n v="6167.95"/>
        <n v="2282.2"/>
        <n v="29225.7"/>
        <n v="33513.51"/>
        <n v="9083.63"/>
        <n v="6251.2"/>
        <n v="7966.75"/>
        <n v="34484.55"/>
        <n v="30807.82"/>
        <n v="4124.35"/>
        <n v="8450.44"/>
        <n v="3294.51"/>
        <n v="22987.15"/>
        <n v="18533.24"/>
        <n v="19868.19"/>
        <n v="18072.54"/>
        <n v="28510.72"/>
        <n v="21302.17"/>
        <n v="21201.89"/>
        <n v="38057.08"/>
        <n v="9006.67"/>
        <n v="20864.92"/>
        <n v="10703.23"/>
        <n v="32688.85"/>
        <n v="8068.34"/>
        <n v="13205.54"/>
        <n v="22081.73"/>
        <n v="39618.52"/>
        <n v="8169.16"/>
        <n v="1915.25"/>
        <n v="14344.86"/>
        <n v="3369.14"/>
        <n v="22828.83"/>
        <n v="13678.9"/>
        <n v="12692.27"/>
        <n v="5579.2"/>
        <n v="13839.02"/>
        <n v="24287.78"/>
        <n v="12376.85"/>
        <n v="9468.03"/>
        <n v="14226.07"/>
        <n v="54203.44"/>
        <n v="21593.89"/>
        <n v="16347.05"/>
        <n v="3421.68"/>
        <n v="7416.47"/>
        <n v="10745.3"/>
        <n v="30555.54"/>
        <n v="31780.66"/>
        <n v="6681.59"/>
        <n v="4362.96"/>
        <n v="2282.6"/>
        <n v="4204.74"/>
        <n v="2107.28"/>
        <n v="17268.66"/>
        <n v="2667.29"/>
        <n v="23259.9"/>
        <n v="12160.2"/>
        <n v="41223.3"/>
        <n v="39233.34"/>
        <n v="19740.75"/>
        <n v="6899.5"/>
        <n v="8036.08"/>
        <n v="8216.87"/>
        <n v="6260.06"/>
        <n v="2221.57"/>
        <n v="13340.31"/>
        <n v="14151.63"/>
        <n v="38757.61"/>
        <n v="14734.04"/>
        <n v="24448.77"/>
        <n v="2778.03"/>
        <n v="2582.1"/>
        <n v="22727.97"/>
        <n v="7895.42"/>
        <n v="13984.51"/>
        <n v="8339.6"/>
        <n v="27315.97"/>
        <n v="25901.88"/>
        <n v="4481.19"/>
        <n v="43922.24"/>
        <n v="6239.36"/>
        <n v="16349.69"/>
        <n v="3068.18"/>
        <n v="9774.71"/>
        <n v="3448.48"/>
        <n v="48882.45"/>
        <n v="4245.73"/>
        <n v="10580.59"/>
        <n v="26917.76"/>
        <n v="4632.56"/>
        <n v="60493.62"/>
        <n v="11473.55"/>
        <n v="4069.82"/>
        <n v="7633.28"/>
        <n v="4024.75"/>
        <n v="8123.31"/>
        <n v="5007.65"/>
        <n v="3264.12"/>
        <n v="6955.43"/>
        <n v="15900.17"/>
        <n v="3776.7"/>
        <n v="28412.14"/>
        <n v="17722.12"/>
        <n v="7321.65"/>
        <n v="17670.18"/>
        <n v="29820.87"/>
        <n v="15943.84"/>
        <n v="9579.04"/>
        <n v="19442.77"/>
        <n v="49816.77"/>
        <n v="2523.16"/>
        <n v="15482.29"/>
        <n v="4473.4"/>
        <n v="14875.1"/>
        <n v="4741.01"/>
        <n v="3721.23"/>
        <n v="8942.61"/>
        <n v="23969.03"/>
        <n v="8699.23"/>
        <n v="18052.34"/>
        <n v="22239.34"/>
        <n v="20106.09"/>
        <n v="12328.81"/>
        <n v="14432.56"/>
        <n v="13906.64"/>
        <n v="17251.98"/>
        <n v="5931.15"/>
        <n v="11873.95"/>
        <n v="5055.39"/>
        <n v="12463.52"/>
        <n v="9358.58"/>
        <n v="3329.38"/>
        <n v="23922.52"/>
        <n v="13494.6"/>
      </sharedItems>
    </cacheField>
    <cacheField name="CTR" numFmtId="0">
      <sharedItems containsSemiMixedTypes="0" containsString="0" containsNumber="1" minValue="0" maxValue="0.0497425957830831" count="500">
        <n v="0.0456571447507953"/>
        <n v="0.0173716129232392"/>
        <n v="0.0469238332689539"/>
        <n v="0.0411984203827199"/>
        <n v="0.0459937390721682"/>
        <n v="0.0398705207386275"/>
        <n v="0.0185246626852466"/>
        <n v="0.0437391860084486"/>
        <n v="0.0394539147854798"/>
        <n v="0.0277879341864717"/>
        <n v="0.0497425957830831"/>
        <n v="0.0397384763882059"/>
        <n v="0.0164125431530495"/>
        <n v="0.0241984606013622"/>
        <n v="0.0273456410524801"/>
        <n v="0.0227062172587464"/>
        <n v="0.048682727906852"/>
        <n v="0.0148299465602763"/>
        <n v="0.0357455075279262"/>
        <n v="0.0364762611275964"/>
        <n v="0.0116338951310861"/>
        <n v="0.0112265767860897"/>
        <n v="0.0337693616775794"/>
        <n v="0.0356262787676041"/>
        <n v="0.0137990623823701"/>
        <n v="0.0400537319161185"/>
        <n v="0.0203920654082529"/>
        <n v="0.0380221053938817"/>
        <n v="0.044462141631953"/>
        <n v="0.0306583608159277"/>
        <n v="0.0413567774386312"/>
        <n v="0.0151835268425371"/>
        <n v="0.0411868465962054"/>
        <n v="0.0414956656199196"/>
        <n v="0.0461622284274331"/>
        <n v="0.0413018020379984"/>
        <n v="0.022966943824782"/>
        <n v="0.0444036122020674"/>
        <n v="0.0425369685767098"/>
        <n v="0.0164541891295333"/>
        <n v="0.0155125215451688"/>
        <n v="0.0489677548389964"/>
        <n v="0.0349763306981707"/>
        <n v="0.0328974056831572"/>
        <n v="0.00896395966536247"/>
        <n v="0.0404118718040299"/>
        <n v="0.0274057037193455"/>
        <n v="0.0142308922289735"/>
        <n v="0.0496176970330676"/>
        <n v="0.0459677168537928"/>
        <n v="0.0122135505736762"/>
        <n v="0.0146305174408993"/>
        <n v="0.0394650295987722"/>
        <n v="0.0221175121606006"/>
        <n v="0.0214762748495882"/>
        <n v="0.0287142014137381"/>
        <n v="0.0161008929203711"/>
        <n v="0.0385801521090074"/>
        <n v="0.0217591299073891"/>
        <n v="0.0195519716204897"/>
        <n v="0.0211874879850603"/>
        <n v="0.0236344864474879"/>
        <n v="0.0270049099836334"/>
        <n v="0.0410397422760212"/>
        <n v="0.0256613966791134"/>
        <n v="0.013458020372182"/>
        <n v="0.0454159365171678"/>
        <n v="0.0277112365985381"/>
        <n v="0.0417141170019824"/>
        <n v="0.0232131852981419"/>
        <n v="0.0219823100936524"/>
        <n v="0.0180068387381425"/>
        <n v="0.0367534544782626"/>
        <n v="0.0240091357268195"/>
        <n v="0.0318018340985047"/>
        <n v="0.021138571564191"/>
        <n v="0.0367098689450438"/>
        <n v="0.0211448902259119"/>
        <n v="0.0418283198296552"/>
        <n v="0.0239621949729091"/>
        <n v="0.0457001829709374"/>
        <n v="0.0302109620182581"/>
        <n v="0.0291125971444063"/>
        <n v="0.0429957210930662"/>
        <n v="0.0141027664419543"/>
        <n v="0.0119572501851787"/>
        <n v="0.0435423598669056"/>
        <n v="0.0106112190399251"/>
        <n v="0.01352621920775"/>
        <n v="0.0104152657611213"/>
        <n v="0.0479180043280778"/>
        <n v="0.0150504880915262"/>
        <n v="0.0438667690925166"/>
        <n v="0.0194835362666718"/>
        <n v="0.0163425747067228"/>
        <n v="0.0361635898010744"/>
        <n v="0.0466511907832517"/>
        <n v="0.0343022295623452"/>
        <n v="0.0232559932166808"/>
        <n v="0.0278030905248463"/>
        <n v="0.0322174116307905"/>
        <n v="0.0125982175816063"/>
        <n v="0.0256882926246437"/>
        <n v="0.0312539158076621"/>
        <n v="0.0204387665490216"/>
        <n v="0.011665350954412"/>
        <n v="0.0301632916750206"/>
        <n v="0.0113058288326648"/>
        <n v="0.0177488821221847"/>
        <n v="0.013019980786673"/>
        <n v="0.00989295591785398"/>
        <n v="0.0237917772278704"/>
        <n v="0.0434520547945206"/>
        <n v="0.0205339223220679"/>
        <n v="0.0110198613780651"/>
        <n v="0.0443699568016953"/>
        <n v="0.0317291807718348"/>
        <n v="0.0181597327664743"/>
        <n v="0.039501330718588"/>
        <n v="0.0279361963979762"/>
        <n v="0.0165950422060779"/>
        <n v="0.0400352205028289"/>
        <n v="0.0247008062863823"/>
        <n v="0.0277218123702907"/>
        <n v="0.0429132797962981"/>
        <n v="0.012447360128341"/>
        <n v="0.0198343157559344"/>
        <n v="0.044647258163894"/>
        <n v="0.0480348267909776"/>
        <n v="0.0340042611856122"/>
        <n v="0.0187344957209458"/>
        <n v="0.0382733523490656"/>
        <n v="0.0490843248836006"/>
        <n v="0.0430388591984886"/>
        <n v="0.0462634543242939"/>
        <n v="0.0265628809457266"/>
        <n v="0.0173718914500772"/>
        <n v="0.0129083072614698"/>
        <n v="0.0305436529957265"/>
        <n v="0.0291255529091528"/>
        <n v="0.0302372867673399"/>
        <n v="0.0446564224859127"/>
        <n v="0.0167144858877694"/>
        <n v="0.0199711916533655"/>
        <n v="0.0372900050907857"/>
        <n v="0.0170016023092824"/>
        <n v="0.0162017678918944"/>
        <n v="0.0234118585319469"/>
        <n v="0.0441217295816702"/>
        <n v="0.0476723496489923"/>
        <n v="0.0366715183357592"/>
        <n v="0.0398722757703813"/>
        <n v="0.0451668503291797"/>
        <n v="0.0268221263908854"/>
        <n v="0.0336252189141856"/>
        <n v="0.0419103904910495"/>
        <n v="0.0271092549447281"/>
        <n v="0.0140082278810603"/>
        <n v="0.0148601398601399"/>
        <n v="0.0242257073055402"/>
        <n v="0.0489445312106403"/>
        <n v="0.012399436012275"/>
        <n v="0.0195621127312095"/>
        <n v="0.0345203215385771"/>
        <n v="0.0196356060337896"/>
        <n v="0.0250292007341899"/>
        <n v="0.0306968389701706"/>
        <n v="0.0376349149541336"/>
        <n v="0.0284641880163224"/>
        <n v="0.0148841532231295"/>
        <n v="0.0472675919865171"/>
        <n v="0.0362604131005364"/>
        <n v="0.0255983335411517"/>
        <n v="0.027087068564469"/>
        <n v="0.0459224896912961"/>
        <n v="0.0168266127296983"/>
        <n v="0.0300655073119383"/>
        <n v="0.0371959275666434"/>
        <n v="0.0327687895676641"/>
        <n v="0.0374530517464311"/>
        <n v="0.0197602223543565"/>
        <n v="0.0217145365820712"/>
        <n v="0.0380227209933527"/>
        <n v="0.0179574774126849"/>
        <n v="0.0368616349795341"/>
        <n v="0.0156171045044081"/>
        <n v="0.0317907156048843"/>
        <n v="0.0331477445929434"/>
        <n v="0.00691548866063256"/>
        <n v="0.0207309214765719"/>
        <n v="0.0299091345555417"/>
        <n v="0.0401301376152807"/>
        <n v="0.022051347971907"/>
        <n v="0.041762954901898"/>
        <n v="0.0288710123492419"/>
        <n v="0.0302381633236652"/>
        <n v="0.00902740462117141"/>
        <n v="0.0100812618867122"/>
        <n v="0.0207712402568441"/>
        <n v="0.0442475806215829"/>
        <n v="0.0146343755138475"/>
        <n v="0.0143710691823899"/>
        <n v="0.0260607393796664"/>
        <n v="0.0160762072133243"/>
        <n v="0.0346265178685212"/>
        <n v="0.0143551850448402"/>
        <n v="0.0418588742918282"/>
        <n v="0.00908772785595368"/>
        <n v="0.0309639203015617"/>
        <n v="0.0196110559247919"/>
        <n v="0.0303456350056709"/>
        <n v="0.020907949402931"/>
        <n v="0.0436363636363636"/>
        <n v="0.0418946584775731"/>
        <n v="0.0219049064068199"/>
        <n v="0.0334908334908335"/>
        <n v="0.0264994717425568"/>
        <n v="0.0351177858059893"/>
        <n v="0.0358787787862876"/>
        <n v="0.0112799222683509"/>
        <n v="0.00807698917339749"/>
        <n v="0.0392846999634844"/>
        <n v="0.0245768088358278"/>
        <n v="0.0399084530067151"/>
        <n v="0.0167194610511288"/>
        <n v="0.0133244704958153"/>
        <n v="0.0455776577998601"/>
        <n v="0.015697517301343"/>
        <n v="0.0173438565721524"/>
        <n v="0.0102018274927202"/>
        <n v="0.0165623466793536"/>
        <n v="0.0427923265845021"/>
        <n v="0.0467680968961266"/>
        <n v="0.0476408612001832"/>
        <n v="0.048248272517881"/>
        <n v="0.0473663937176158"/>
        <n v="0.0478463025764574"/>
        <n v="0.0236518448438978"/>
        <n v="0.0396427260491863"/>
        <n v="0.0302641605283211"/>
        <n v="0.015127278223521"/>
        <n v="0.0225183649214196"/>
        <n v="0.0289081357376118"/>
        <n v="0.0332697486535009"/>
        <n v="0.0342015299474176"/>
        <n v="0.0185881767486791"/>
        <n v="0.0108125387841065"/>
        <n v="0.0249316730772442"/>
        <n v="0.0429964589803239"/>
        <n v="0.0287374041736157"/>
        <n v="0.0411077016711891"/>
        <n v="0.0199656839806582"/>
        <n v="0.0321818234437252"/>
        <n v="0.0370833743340315"/>
        <n v="0.0286222124493797"/>
        <n v="0.0116444787230475"/>
        <n v="0.0227792085313214"/>
        <n v="0.0215697578652611"/>
        <n v="0.0391016298709977"/>
        <n v="0.0112931184803011"/>
        <n v="0.038894738946723"/>
        <n v="0.0241875081838418"/>
        <n v="0.011688912660685"/>
        <n v="0.0281311154598826"/>
        <n v="0.0342804636697767"/>
        <n v="0.0283935885445222"/>
        <n v="0.034178870998193"/>
        <n v="0.0324751042071544"/>
        <n v="0.0304986382263853"/>
        <n v="0.0220074084345225"/>
        <n v="0.0221777672676607"/>
        <n v="0.0431223345781714"/>
        <n v="0.0226670984209223"/>
        <n v="0.0240398229429036"/>
        <n v="0.0358964197440738"/>
        <n v="0.025629259885172"/>
        <n v="0.0420374391507359"/>
        <n v="0.0409867781542266"/>
        <n v="0.0383302406617845"/>
        <n v="0.0469069683475749"/>
        <n v="0.0418369800432796"/>
        <n v="0.0196906445307787"/>
        <n v="0.0130240086323172"/>
        <n v="0.045841519318926"/>
        <n v="0.0189326515421211"/>
        <n v="0.0152790730355021"/>
        <n v="0.0159366786685505"/>
        <n v="0.013312809988028"/>
        <n v="0.0434956260837376"/>
        <n v="0.0158363480509669"/>
        <n v="0.0435579764320553"/>
        <n v="0.0182118612419875"/>
        <n v="0.0429179774655896"/>
        <n v="0.0192150300528074"/>
        <n v="0.0388858041828614"/>
        <n v="0.0185530956403189"/>
        <n v="0.0482345840458706"/>
        <n v="0.0162078589117019"/>
        <n v="0.0432238054569155"/>
        <n v="0.0262586084369073"/>
        <n v="0.0176127895949058"/>
        <n v="0.0265875001525562"/>
        <n v="0.0435302407244837"/>
        <n v="0.034712156120783"/>
        <n v="0.0240930813353017"/>
        <n v="0.00960001353305873"/>
        <n v="0.027680224762148"/>
        <n v="0.0335095729748623"/>
        <n v="0.0361469687387622"/>
        <n v="0.0410272774412655"/>
        <n v="0.00906947940389149"/>
        <n v="0.0427727344070397"/>
        <n v="0.00792397032618449"/>
        <n v="0.0335385226370135"/>
        <n v="0.0487752863758226"/>
        <n v="0.0394162283851185"/>
        <n v="0.0442449503045848"/>
        <n v="0.0465747680696053"/>
        <n v="0.020364378972488"/>
        <n v="0.0310057702140092"/>
        <n v="0.0443314362990928"/>
        <n v="0.0178938346111848"/>
        <n v="0.0143738531500146"/>
        <n v="0.0439604259171445"/>
        <n v="0.039376051812943"/>
        <n v="0.0202322674721383"/>
        <n v="0.0296320630749014"/>
        <n v="0.0231324604443963"/>
        <n v="0.0293502965072233"/>
        <n v="0.04291768424077"/>
        <n v="0.0399871998293311"/>
        <n v="0.0159605727884744"/>
        <n v="0.043527345709985"/>
        <n v="0.0212201591511936"/>
        <n v="0.0116178923974777"/>
        <n v="0.0279378698989481"/>
        <n v="0.0186913136902835"/>
        <n v="0.0328204797211711"/>
        <n v="0.0487769343958974"/>
        <n v="0.0383264052279336"/>
        <n v="0.0480226365735488"/>
        <n v="0.023294779491658"/>
        <n v="0.0147047501732235"/>
        <n v="0.00819254323431856"/>
        <n v="0.0215326976801467"/>
        <n v="0.0405755602424168"/>
        <n v="0.0190154456962753"/>
        <n v="0.0109602716150803"/>
        <n v="0.0327754954084099"/>
        <n v="0.036856413712676"/>
        <n v="0.0431972285099664"/>
        <n v="0.0400014960821349"/>
        <n v="0.0373927737423284"/>
        <n v="0.0174000388827685"/>
        <n v="0.00518068206323616"/>
        <n v="0.0187348280825883"/>
        <n v="0.0369063936144481"/>
        <n v="0.0479370465292568"/>
        <n v="0.0180234223909462"/>
        <n v="0.0252037282831953"/>
        <n v="0.0109263657957245"/>
        <n v="0.0238346047437693"/>
        <n v="0.0397903799363653"/>
        <n v="0.0281988165106466"/>
        <n v="0.0301234794222787"/>
        <n v="0.0181730731732682"/>
        <n v="0.0207836505802946"/>
        <n v="0.030892314423445"/>
        <n v="0.0424406790508648"/>
        <n v="0.0241908482142857"/>
        <n v="0.0171058440014941"/>
        <n v="0.0375950511370686"/>
        <n v="0.0474245075436133"/>
        <n v="0.0316688681492389"/>
        <n v="0.0384611219406541"/>
        <n v="0.03213018283096"/>
        <n v="0.0136823156583459"/>
        <n v="0.0374160610799374"/>
        <n v="0.043466249989209"/>
        <n v="0.0366396554594322"/>
        <n v="0.0202552046726933"/>
        <n v="0.0264117630831195"/>
        <n v="0.0328411690368403"/>
        <n v="0.0301125812441968"/>
        <n v="0.0343569617124936"/>
        <n v="0.0117000017080294"/>
        <n v="0.0497206295877004"/>
        <n v="0.0325846973734298"/>
        <n v="0.0330747792216514"/>
        <n v="0.0465564296034677"/>
        <n v="0.0207254621026201"/>
        <n v="0.0486957609387792"/>
        <n v="0.0393904006228237"/>
        <n v="0.0192653311708237"/>
        <n v="0.0191152750609149"/>
        <n v="0.0209958189882072"/>
        <n v="0.0203238669658553"/>
        <n v="0.0443721992795009"/>
        <n v="0.00771255228966396"/>
        <n v="0.0381182147165259"/>
        <n v="0.0178263279950652"/>
        <n v="0.0317733017377567"/>
        <n v="0.0365593149200343"/>
        <n v="0.0324101227327034"/>
        <n v="0.0300237295983331"/>
        <n v="0.0329527682202064"/>
        <n v="0.0399794391455823"/>
        <n v="0.0418765070353753"/>
        <n v="0.0343781732670622"/>
        <n v="0.0122102892485588"/>
        <n v="0.0283136710617627"/>
        <n v="0.0405792168814493"/>
        <n v="0.0430974717203008"/>
        <n v="0.0272134319508161"/>
        <n v="0.0131250991321687"/>
        <n v="0.0334423226438606"/>
        <n v="0.017104165783187"/>
        <n v="0.0183081333793317"/>
        <n v="0.0326920948762404"/>
        <n v="0.0425749603274033"/>
        <n v="0.0136606301685334"/>
        <n v="0.0488225508600034"/>
        <n v="0.0294053709366531"/>
        <n v="0.0306900537992975"/>
        <n v="0.0416773759860812"/>
        <n v="0.0120033398748079"/>
        <n v="0.0363342898134864"/>
        <n v="0.0278225848963111"/>
        <n v="0.0189550895308095"/>
        <n v="0.0465360391882435"/>
        <n v="0.0125841865535096"/>
        <n v="0.029153873814068"/>
        <n v="0.0278663640035094"/>
        <n v="0.0450376791043923"/>
        <n v="0.0201762148864288"/>
        <n v="0.0333326308542848"/>
        <n v="0.0442109178833814"/>
        <n v="0.0298261287883994"/>
        <n v="0.0251735538401765"/>
        <n v="0.0109613826911141"/>
        <n v="0.02254798068998"/>
        <n v="0.0164870636142424"/>
        <n v="0.0360188355378501"/>
        <n v="0.0482980364077002"/>
        <n v="0.0324141960317097"/>
        <n v="0.0495194439547171"/>
        <n v="0.0207026182723109"/>
        <n v="0.0234265124061964"/>
        <n v="0.0461001527989999"/>
        <n v="0.0381741889264149"/>
        <n v="0.0336454711100136"/>
        <n v="0.0382643263821042"/>
        <n v="0.0133084189764352"/>
        <n v="0.0298309990180371"/>
        <n v="0.0485845160321394"/>
        <n v="0.0226997090314756"/>
        <n v="0.0451890104925977"/>
        <n v="0.0363388698479656"/>
        <n v="0.0371740511218306"/>
        <n v="0.0189668438098306"/>
        <n v="0.0386832088480322"/>
        <n v="0.012467068121942"/>
        <n v="0.0270953657390776"/>
        <n v="0.014036188575602"/>
        <n v="0.0288098957100708"/>
        <n v="0.0440500986875017"/>
        <n v="0.0259412176347096"/>
        <n v="0.0232404255104206"/>
        <n v="0.0419781596148577"/>
        <n v="0.0326065851155308"/>
        <n v="0.0343163422833317"/>
        <n v="0.0420354865760645"/>
        <n v="0.0458405625057072"/>
        <n v="0.0389729711670175"/>
        <n v="0.0340454208504616"/>
        <n v="0.0429481015323163"/>
        <n v="0.0178229410512875"/>
        <n v="0.0141999809799338"/>
        <n v="0.0202951424919988"/>
        <n v="0.0485943256752634"/>
        <n v="0.00945832662980431"/>
        <n v="0.0223163353500432"/>
        <n v="0.0404344223911242"/>
        <n v="0.0238223355986475"/>
        <n v="0.0237612090290662"/>
        <n v="0.0316577514848796"/>
        <n v="0.0384513876200337"/>
        <n v="0.041485045675275"/>
        <n v="0.0461083803262869"/>
        <n v="0.0360253958357065"/>
        <n v="0.0456302809216475"/>
        <n v="0.021723799133218"/>
        <n v="0.0290876449130045"/>
        <n v="0.0453906343591781"/>
        <n v="0.0318706697459584"/>
        <n v="0.0234780925724665"/>
        <n v="0.0179595206426376"/>
        <n v="0.027005743931814"/>
        <n v="0.0460369574060085"/>
        <n v="0.0377374624121763"/>
      </sharedItems>
    </cacheField>
    <cacheField name="CPC" numFmtId="0">
      <sharedItems containsSemiMixedTypes="0" containsString="0" containsNumber="1" minValue="0" maxValue="8.47603925066905" count="500">
        <n v="1.10702957720922"/>
        <n v="5.43665178571429"/>
        <n v="0.675487371375117"/>
        <n v="1.69377871666227"/>
        <n v="0.867741862053267"/>
        <n v="0.750552388441124"/>
        <n v="3.9889328358209"/>
        <n v="1.25790449037776"/>
        <n v="3.01488011283498"/>
        <n v="1.24857391640867"/>
        <n v="0.636355014946913"/>
        <n v="4.81531164069661"/>
        <n v="3.7302541630149"/>
        <n v="1.66312193527297"/>
        <n v="1.66345933014354"/>
        <n v="5.06257418397626"/>
        <n v="0.643686762922958"/>
        <n v="3.46864155251142"/>
        <n v="1.91092391304348"/>
        <n v="0.723371974781371"/>
        <n v="3.38181757209926"/>
        <n v="2.7588706015891"/>
        <n v="0.885876574845185"/>
        <n v="2.14253615594215"/>
        <n v="1.96794172349659"/>
        <n v="1.1122344956082"/>
        <n v="1.54689202825429"/>
        <n v="1.20148793322446"/>
        <n v="1.28038853678699"/>
        <n v="3.52220894200974"/>
        <n v="1.34815661815662"/>
        <n v="3.04074468085106"/>
        <n v="2.15230501392758"/>
        <n v="0.387901990811639"/>
        <n v="0.7308704632635"/>
        <n v="0.926836648328396"/>
        <n v="2.09025386313466"/>
        <n v="0.873569327319082"/>
        <n v="2.14300651819663"/>
        <n v="3.73804878048781"/>
        <n v="3.3578721859114"/>
        <n v="0.371466984343091"/>
        <n v="1.5564014832294"/>
        <n v="1.78613035819143"/>
        <n v="2.45570617459191"/>
        <n v="1.08406122009054"/>
        <n v="1.26051853394419"/>
        <n v="3.17445224719101"/>
        <n v="1.3336746789595"/>
        <n v="1.79826454668471"/>
        <n v="4.15418533604888"/>
        <n v="2.84145278450363"/>
        <n v="2.58968300653595"/>
        <n v="2.98560145808019"/>
        <n v="3.23788304623753"/>
        <n v="3.46702667249672"/>
        <n v="1.28378648540584"/>
        <n v="0.946372611464968"/>
        <n v="2.00630754776073"/>
        <n v="2.59115497690046"/>
        <n v="1.45604990278678"/>
        <n v="4.22131052631579"/>
        <n v="2.28056006493507"/>
        <n v="0.69794323693192"/>
        <n v="4.75193498452012"/>
        <n v="2.27569199178645"/>
        <n v="1.6044448188711"/>
        <n v="0.676713333333333"/>
        <n v="1.47016936299292"/>
        <n v="1.37845219347582"/>
        <n v="2.26591715976331"/>
        <n v="3.54692955589587"/>
        <n v="0.849047918303221"/>
        <n v="3.44944702242846"/>
        <n v="1.21013090909091"/>
        <n v="2.56516966067864"/>
        <n v="4.50976331360947"/>
        <n v="2.89235294117647"/>
        <n v="0.95767471958585"/>
        <n v="1.07108126487589"/>
        <n v="1.21148510242086"/>
        <n v="1.06455513487932"/>
        <n v="1.62329774025329"/>
        <n v="2.25312694373763"/>
        <n v="6.40932054356515"/>
        <n v="4.39838348082596"/>
        <n v="1.36283564542676"/>
        <n v="5.05234441087613"/>
        <n v="4.47978427612656"/>
        <n v="5.15622668579627"/>
        <n v="1.49519272125724"/>
        <n v="7.13546613545817"/>
        <n v="1.41170328762597"/>
        <n v="4.54286636860407"/>
        <n v="1.74933208255159"/>
        <n v="0.728531235097759"/>
        <n v="1.80313674898636"/>
        <n v="0.821860857005296"/>
        <n v="1.23331123632748"/>
        <n v="3.10426080892608"/>
        <n v="0.678296529968454"/>
        <n v="3.17917120133947"/>
        <n v="1.31386489479513"/>
        <n v="0.962523739185482"/>
        <n v="1.4023510336441"/>
        <n v="3.53613437195716"/>
        <n v="0.88219596258001"/>
        <n v="3.95770069375619"/>
        <n v="3.82187017001546"/>
        <n v="2.77918384171476"/>
        <n v="3.85647983595352"/>
        <n v="0.971998746867168"/>
        <n v="1.63717708520987"/>
        <n v="1.71479862475442"/>
        <n v="2.07093023255814"/>
        <n v="0.83142365097589"/>
        <n v="0.948012973711164"/>
        <n v="7.50326923076923"/>
        <n v="0.585707531239446"/>
        <n v="2.21225453498416"/>
        <n v="2.28638340716875"/>
        <n v="3.45414131960693"/>
        <n v="2.54328616735789"/>
        <n v="1.58131147540984"/>
        <n v="0.524753958065896"/>
        <n v="3.17180092059839"/>
        <n v="6.18214457831325"/>
        <n v="1.34345523546662"/>
        <n v="2.17710654685494"/>
        <n v="0.641148459383754"/>
        <n v="2.48482534524777"/>
        <n v="1.42862774544772"/>
        <n v="1.17573636874649"/>
        <n v="2.06904990980156"/>
        <n v="0.75675209898365"/>
        <n v="1.90220282068502"/>
        <n v="2.71273174157303"/>
        <n v="5.91664971751412"/>
        <n v="1.29929012923768"/>
        <n v="3.10161214953271"/>
        <n v="1.47773902886701"/>
        <n v="1.13701981050818"/>
        <n v="2.59265069860279"/>
        <n v="2.09189083820663"/>
        <n v="2.30728858551384"/>
        <n v="4.6748345323741"/>
        <n v="3.15910274963821"/>
        <n v="2.96020307893875"/>
        <n v="1.31725950782998"/>
        <n v="1.02508550488599"/>
        <n v="3.95252178121975"/>
        <n v="1.15917088419172"/>
        <n v="0.906021269940569"/>
        <n v="0.63526796347757"/>
        <n v="3.09291666666667"/>
        <n v="0.655265719547488"/>
        <n v="1.13630171428571"/>
        <n v="4.93065055762082"/>
        <n v="5.68821207430341"/>
        <n v="2.44025699414444"/>
        <n v="1.281592039801"/>
        <n v="4.82291638795987"/>
        <n v="0.863756255519576"/>
        <n v="4.70481501632209"/>
        <n v="1.0899381921195"/>
        <n v="2.22381666666667"/>
        <n v="2.69122530632658"/>
        <n v="3.01760760760761"/>
        <n v="2.11196679438059"/>
        <n v="8.47603925066905"/>
        <n v="0.73605059426453"/>
        <n v="1.93362182008917"/>
        <n v="1.68438108882522"/>
        <n v="0.765096487842532"/>
        <n v="1.56297133323222"/>
        <n v="4.94996589940324"/>
        <n v="1.04060474537037"/>
        <n v="2.29580651901379"/>
        <n v="2.99943527080581"/>
        <n v="1.03914279004227"/>
        <n v="6.64990902729181"/>
        <n v="5.90182737169518"/>
        <n v="0.812244069245565"/>
        <n v="3.35284522319566"/>
        <n v="1.37933789954338"/>
        <n v="1.86283593452608"/>
        <n v="4.60842075578116"/>
        <n v="0.71752232566977"/>
        <n v="4.60945501730104"/>
        <n v="5.76753996447602"/>
        <n v="2.0301694411415"/>
        <n v="2.54540372670807"/>
        <n v="2.30191838897721"/>
        <n v="0.691046903740037"/>
        <n v="2.41342357351104"/>
        <n v="1.04062415563361"/>
        <n v="2.45134672619048"/>
        <n v="4.21990105540897"/>
        <n v="2.97926721199727"/>
        <n v="0.476759614113916"/>
        <n v="1.97731942215088"/>
        <n v="2.20844638949672"/>
        <n v="1.00326464746773"/>
        <n v="3.94942857142857"/>
        <n v="1.60295215562566"/>
        <n v="3.40077870655521"/>
        <n v="1.85522313010685"/>
        <n v="2.37378063010502"/>
        <n v="1.56832432432432"/>
        <n v="1.74319582245431"/>
        <n v="1.47115053393042"/>
        <n v="2.2555582426441"/>
        <n v="2.41054187192118"/>
        <n v="2.01988449577965"/>
        <n v="1.03239610056439"/>
        <n v="5.09665349887133"/>
        <n v="5.29020261437909"/>
        <n v="1.12189593606529"/>
        <n v="1.0553564708342"/>
        <n v="4.31251370399374"/>
        <n v="4.00248005319149"/>
        <n v="0.499713400464756"/>
        <n v="1.17482252860076"/>
        <n v="0.536472145197883"/>
        <n v="2.27468312208139"/>
        <n v="6.22319727891157"/>
        <n v="2.04054702872885"/>
        <n v="3.06183383233533"/>
        <n v="5.73796504369538"/>
        <n v="3.35488845144357"/>
        <n v="2.1924012567325"/>
        <n v="0.512395084324748"/>
        <n v="1.4170741599073"/>
        <n v="2.09884615384615"/>
        <n v="1.41362123115578"/>
        <n v="2.33579223504722"/>
        <n v="1.54065747273894"/>
        <n v="2.5961"/>
        <n v="0.95374269005848"/>
        <n v="3.42757448594209"/>
        <n v="3.40338884263114"/>
        <n v="2.23508702975856"/>
        <n v="2.02942043222004"/>
        <n v="1.97907251264755"/>
        <n v="3.28397131331242"/>
        <n v="3.30253937007874"/>
        <n v="4.82261739130435"/>
        <n v="1.16850413038625"/>
        <n v="1.31894456289979"/>
        <n v="1.7786930017069"/>
        <n v="0.509710055521283"/>
        <n v="1.59757457386364"/>
        <n v="2.11246103117506"/>
        <n v="2.73079226686884"/>
        <n v="1.55227272727273"/>
        <n v="5.17644348452124"/>
        <n v="1.28406733393995"/>
        <n v="2.85662084765178"/>
        <n v="1.1801416015625"/>
        <n v="3.71696185286104"/>
        <n v="2.59269019876628"/>
        <n v="1.00285188393244"/>
        <n v="3.35159383033419"/>
        <n v="3.72899771167048"/>
        <n v="1.47373883161512"/>
        <n v="2.23306224443435"/>
        <n v="1.67312684947721"/>
        <n v="1.63329756500206"/>
        <n v="1.01716908696378"/>
        <n v="7.97950495049505"/>
        <n v="2.9985878962536"/>
        <n v="1.81193274272284"/>
        <n v="5.5173781512605"/>
        <n v="3.44997520148791"/>
        <n v="0.712492736780941"/>
        <n v="1.86286899563319"/>
        <n v="2.57845374746793"/>
        <n v="1.19600967073452"/>
        <n v="2.21963045084996"/>
        <n v="1.15325636091512"/>
        <n v="0.432963274460331"/>
        <n v="3.35613970588235"/>
        <n v="3.27574150787075"/>
        <n v="1.78674772036474"/>
        <n v="4.08511111111111"/>
        <n v="2.93928093645485"/>
        <n v="5.43392755004766"/>
        <n v="3.03676258992806"/>
        <n v="1.2584412094065"/>
        <n v="4.1501376146789"/>
        <n v="1.01071924805885"/>
        <n v="1.32964887640449"/>
        <n v="1.15109447004608"/>
        <n v="1.07399077590884"/>
        <n v="1.24149452641599"/>
        <n v="1.69011980830671"/>
        <n v="0.672890510948905"/>
        <n v="3.81203718674212"/>
        <n v="1.3754887687188"/>
        <n v="1.45164719626168"/>
        <n v="1.06497633136095"/>
        <n v="1.50569198990131"/>
        <n v="1.0444593339525"/>
        <n v="1.21499340659341"/>
        <n v="1.64696536691693"/>
        <n v="4.73746255506608"/>
        <n v="2.70164552095348"/>
        <n v="1.13416887417219"/>
        <n v="1.65402401372213"/>
        <n v="0.933863888888889"/>
        <n v="3.67944493392071"/>
        <n v="0.673283617424242"/>
        <n v="2.68035087719298"/>
        <n v="3.67492007104796"/>
        <n v="1.65100770351863"/>
        <n v="0.424738224191695"/>
        <n v="2.9406488801054"/>
        <n v="1.46904343911771"/>
        <n v="3.05739718309859"/>
        <n v="1.66611307420495"/>
        <n v="0.55789323164919"/>
        <n v="3.33063648293963"/>
        <n v="6.60751156336725"/>
        <n v="0.775516057857318"/>
        <n v="1.13752792617776"/>
        <n v="2.03002574002574"/>
        <n v="2.00789990497308"/>
        <n v="2.7287578125"/>
        <n v="3.41855807743658"/>
        <n v="1.47330264993027"/>
        <n v="1.44518006002001"/>
        <n v="2.36149835946044"/>
        <n v="1.63105393165912"/>
        <n v="2.13956290849673"/>
        <n v="4.81586314152411"/>
        <n v="2.36508171446192"/>
        <n v="3.53955118110236"/>
        <n v="2.63979105211406"/>
        <n v="2.55522700119474"/>
        <n v="1.23376069782752"/>
        <n v="1.94793218454697"/>
        <n v="2.31328247602441"/>
        <n v="6.22801701570681"/>
        <n v="6.43791704238052"/>
        <n v="1.16038229981939"/>
        <n v="0.898200328822562"/>
        <n v="2.83244505494506"/>
        <n v="3.62629032258065"/>
        <n v="4.17584792626728"/>
        <n v="0.691251284158619"/>
        <n v="1.03453513129879"/>
        <n v="2.20787751285648"/>
        <n v="1.2090914796799"/>
        <n v="7.31065176908752"/>
        <n v="7.68318136769078"/>
        <n v="2.01735469237312"/>
        <n v="1.32668214090661"/>
        <n v="0.945464357429719"/>
        <n v="4.57205166418281"/>
        <n v="1.97527508090615"/>
        <n v="3.63957039337474"/>
        <n v="4.81662943176299"/>
        <n v="2.91655691439323"/>
        <n v="1.07599870995485"/>
        <n v="1.5038187350576"/>
        <n v="2.62427038626609"/>
        <n v="5.32265646731572"/>
        <n v="2.63555639858371"/>
        <n v="1.60062393967955"/>
        <n v="3.2221568627451"/>
        <n v="3.74946898263027"/>
        <n v="3.11613861386139"/>
        <n v="0.61292478226445"/>
        <n v="0.71228547008547"/>
        <n v="1.32649303111361"/>
        <n v="1.97962600489339"/>
        <n v="2.46329664832416"/>
        <n v="1.09285802089736"/>
        <n v="1.27189672293942"/>
        <n v="0.89477795691045"/>
        <n v="2.37319473526772"/>
        <n v="1.27964487152705"/>
        <n v="2.08495616171456"/>
        <n v="1.77"/>
        <n v="1.35539647199863"/>
        <n v="5.11581751824818"/>
        <n v="2.70370547190599"/>
        <n v="0.547347352024922"/>
        <n v="1.09456091370558"/>
        <n v="1.64713793103448"/>
        <n v="2.74094113620808"/>
        <n v="0.557083479276124"/>
        <n v="0.952838770813592"/>
        <n v="4.20499431171786"/>
        <n v="2.87960861759426"/>
        <n v="2.77275504322767"/>
        <n v="3.63595639943741"/>
        <n v="0.744823529411765"/>
        <n v="2.53178879310345"/>
        <n v="1.76260021097046"/>
        <n v="2.9380420499343"/>
        <n v="3.09761963952766"/>
        <n v="1.245305003427"/>
        <n v="3.1031735924933"/>
        <n v="1.0372843373494"/>
        <n v="1.77914095870907"/>
        <n v="0.868414285714286"/>
        <n v="1.37470116618076"/>
        <n v="1.14418188884571"/>
        <n v="3.70805918788713"/>
        <n v="2.46497549019608"/>
        <n v="0.610648112847884"/>
        <n v="1.73594990836897"/>
        <n v="1.04566972477064"/>
        <n v="3.81748381527838"/>
        <n v="1.97374203821656"/>
        <n v="7.6894132231405"/>
        <n v="3.4572644574399"/>
        <n v="2.04399153737659"/>
        <n v="0.862677783227072"/>
        <n v="4.86081417624521"/>
        <n v="0.776930290715849"/>
        <n v="2.67397240019714"/>
        <n v="0.920766026801884"/>
        <n v="1.08597564832385"/>
        <n v="1.44385467434648"/>
        <n v="1.87377097729516"/>
        <n v="2.90377415687761"/>
        <n v="1.9815737833595"/>
        <n v="0.851713900134953"/>
        <n v="3.75316318638824"/>
        <n v="1.5447210626186"/>
        <n v="0.86676411794103"/>
        <n v="0.816497397486353"/>
        <n v="0.89304275862069"/>
        <n v="1.94440252897787"/>
        <n v="0.7874225213855"/>
        <n v="4.11649769585253"/>
        <n v="1.78320326150262"/>
        <n v="3.2129462571977"/>
        <n v="2.09407832898172"/>
        <n v="2.48751004016064"/>
        <n v="1.12961518858308"/>
        <n v="0.893905915894512"/>
        <n v="0.893097720445308"/>
        <n v="0.700606322149099"/>
        <n v="1.20910059676044"/>
        <n v="2.89906660823839"/>
        <n v="0.954895166352794"/>
        <n v="1.37092493297587"/>
        <n v="1.75160087284269"/>
        <n v="1.34542349005107"/>
        <n v="6.72476599063963"/>
        <n v="2.65876992376992"/>
        <n v="2.25139103554869"/>
        <n v="0.912357257509746"/>
        <n v="0.421407474724526"/>
        <n v="1.36249395405079"/>
        <n v="1.15914338489956"/>
        <n v="5.65533962264151"/>
        <n v="0.882341610582502"/>
        <n v="3.01422012578616"/>
        <n v="3.60112697603264"/>
        <n v="1.97091242213265"/>
        <n v="2.1926286966046"/>
        <n v="1.68894693371877"/>
        <n v="1.99840571891017"/>
        <n v="0.735618343838296"/>
        <n v="1.67974358974359"/>
        <n v="3.58525733730328"/>
        <n v="0.778183729241118"/>
        <n v="1.0327485750475"/>
        <n v="0.909797476759628"/>
        <n v="3.65806686669524"/>
        <n v="1.10026524148852"/>
        <n v="1.03591944886063"/>
        <n v="2.95711940298508"/>
        <n v="2.20535777229468"/>
        <n v="0.865933799784715"/>
        <n v="0.824168779427744"/>
        <n v="7.25807520143241"/>
        <n v="2.50787374128582"/>
        <n v="3.67575055679287"/>
        <n v="2.05995817066369"/>
        <n v="3.58706791378609"/>
        <n v="3.57400596792242"/>
        <n v="0.791833861316438"/>
        <n v="1.34573293387545"/>
        <n v="1.77486374536734"/>
        <n v="1.03285571642536"/>
        <n v="2.43224803553126"/>
        <n v="1.45256936736959"/>
        <n v="5.84582403151674"/>
        <n v="0.878373385192388"/>
        <n v="2.32774936061381"/>
        <n v="3.24262523779328"/>
        <n v="1.95033564392557"/>
        <n v="1.67166037735849"/>
        <n v="2.28068475859893"/>
        <n v="1.07761329305136"/>
      </sharedItems>
    </cacheField>
    <cacheField name="CPA" numFmtId="0">
      <sharedItems containsSemiMixedTypes="0" containsString="0" containsNumber="1" minValue="0" maxValue="178.926730769231" count="500">
        <n v="5.81032380952381"/>
        <n v="84.5701388888889"/>
        <n v="3.59609561752988"/>
        <n v="19.4964741641337"/>
        <n v="18.0235933806147"/>
        <n v="4.53451306413302"/>
        <n v="22.6490254237288"/>
        <n v="12.4723674911661"/>
        <n v="20.357619047619"/>
        <n v="94.8916176470588"/>
        <n v="7.70696629213483"/>
        <n v="68.6732679738562"/>
        <n v="31.7628358208955"/>
        <n v="87.7153448275862"/>
        <n v="50.3859420289855"/>
        <n v="44.8970394736842"/>
        <n v="4.27538067349927"/>
        <n v="26.6537719298246"/>
        <n v="12.4764838709677"/>
        <n v="27.78765625"/>
        <n v="18.0727240143369"/>
        <n v="15.9905592105263"/>
        <n v="45.5885714285714"/>
        <n v="38.4287218045113"/>
        <n v="43.4834246575342"/>
        <n v="5.70466211604096"/>
        <n v="9.29072727272727"/>
        <n v="29.8261261261261"/>
        <n v="9.05756335282651"/>
        <n v="24.5576234567901"/>
        <n v="17.14"/>
        <n v="18.3695372750643"/>
        <n v="13.5855384615385"/>
        <n v="2.05795531482735"/>
        <n v="6.29458703939009"/>
        <n v="56.8861038961039"/>
        <n v="17.294703196347"/>
        <n v="63.6332857142857"/>
        <n v="12.9565681444992"/>
        <n v="19.6487179487179"/>
        <n v="44.8911650485437"/>
        <n v="2.42526666666667"/>
        <n v="61.9740268456376"/>
        <n v="27.7788127853881"/>
        <n v="35.6710309278351"/>
        <n v="10.8616846652268"/>
        <n v="20.7294863013699"/>
        <n v="17.3196168582376"/>
        <n v="8.03644841269841"/>
        <n v="106.3134"/>
        <n v="25.2595046439629"/>
        <n v="26.6709090909091"/>
        <n v="35.857149321267"/>
        <n v="53.0320143884892"/>
        <n v="46.9919078947369"/>
        <n v="25.4954662379421"/>
        <n v="7.98694029850746"/>
        <n v="7.58063775510204"/>
        <n v="16.6393246753247"/>
        <n v="19.5238607594937"/>
        <n v="8.38315298507463"/>
        <n v="42.436455026455"/>
        <n v="14.0717028380634"/>
        <n v="4.25103938730853"/>
        <n v="39.8668831168831"/>
        <n v="21.6457421875"/>
        <n v="14.2764317841079"/>
        <n v="4.10405660377359"/>
        <n v="32.1325414364641"/>
        <n v="76.59025"/>
        <n v="21.3403095975232"/>
        <n v="33.3258273381295"/>
        <n v="8.30136712749616"/>
        <n v="28.4085031847134"/>
        <n v="6.77771894093686"/>
        <n v="16.064375"/>
        <n v="28.580625"/>
        <n v="38.442"/>
        <n v="5.5706148055207"/>
        <n v="11.4965328467153"/>
        <n v="63.0853333333333"/>
        <n v="5.38779640718563"/>
        <n v="14.4305077262693"/>
        <n v="11.84147102526"/>
        <n v="54.9182191780822"/>
        <n v="61.1086885245902"/>
        <n v="13.8003333333333"/>
        <n v="112.995"/>
        <n v="37.529437751004"/>
        <n v="36.486192893401"/>
        <n v="12.0834759358289"/>
        <n v="99.5001111111111"/>
        <n v="21.2035732009926"/>
        <n v="114.309875"/>
        <n v="58.274625"/>
        <n v="8.34825136612022"/>
        <n v="64.3672368421053"/>
        <n v="4.79495786516854"/>
        <n v="8.75505882352941"/>
        <n v="28.9059090909091"/>
        <n v="11.6436823104693"/>
        <n v="28.3397014925373"/>
        <n v="9.14036979969183"/>
        <n v="7.82401372212693"/>
        <n v="12.0125"/>
        <n v="18.0677114427861"/>
        <n v="6.44510791366907"/>
        <n v="20.7445194805195"/>
        <n v="29.0911764705882"/>
        <n v="14.1943157894737"/>
        <n v="34.6136809815951"/>
        <n v="9.15227138643068"/>
        <n v="23.1246055979644"/>
        <n v="9.13960732984293"/>
        <n v="16.8887931034483"/>
        <n v="7.50435233160622"/>
        <n v="31.0249162011173"/>
        <n v="42.7329047619048"/>
        <n v="4.91994326241135"/>
        <n v="15.5215353535354"/>
        <n v="12.2615334773218"/>
        <n v="18.0036585365854"/>
        <n v="69.0392715231788"/>
        <n v="10.5229090909091"/>
        <n v="7.15768482490273"/>
        <n v="68.0566666666667"/>
        <n v="30.9107228915663"/>
        <n v="16.2250208333333"/>
        <n v="36.7092207792208"/>
        <n v="16.8562403100775"/>
        <n v="33.8614760147601"/>
        <n v="35.897641509434"/>
        <n v="70.3070588235294"/>
        <n v="32.7698095238095"/>
        <n v="18.1700795755968"/>
        <n v="134.875238095238"/>
        <n v="14.4139179104478"/>
        <n v="38.6438007380074"/>
        <n v="12.7751565377532"/>
        <n v="57.7169565217391"/>
        <n v="8.14727690892364"/>
        <n v="6.06236509758898"/>
        <n v="14.3368432671082"/>
        <n v="13.1943442622951"/>
        <n v="54.8136936936937"/>
        <n v="40.612625"/>
        <n v="36.5855865921788"/>
        <n v="56.8396226415094"/>
        <n v="8.36682060390764"/>
        <n v="10.9144942196532"/>
        <n v="52.0121656050955"/>
        <n v="59.4451145038168"/>
        <n v="5.36398148148148"/>
        <n v="57.1514285714286"/>
        <n v="17.4279130434783"/>
        <n v="3.3431744966443"/>
        <n v="42.4899145299145"/>
        <n v="128.355967741935"/>
        <n v="29.39668"/>
        <n v="12.2171824104235"/>
        <n v="13.5825454545455"/>
        <n v="69.3294230769231"/>
        <n v="8.91848024316109"/>
        <n v="31.675641025641"/>
        <n v="6.83720516962843"/>
        <n v="28.2389417989418"/>
        <n v="129.665180722892"/>
        <n v="29.5548039215686"/>
        <n v="77.8197647058824"/>
        <n v="111.784"/>
        <n v="5.93173989455185"/>
        <n v="11.6659810126582"/>
        <n v="44.5340151515152"/>
        <n v="11.1368820224719"/>
        <n v="11.8580782508631"/>
        <n v="27.7813875598086"/>
        <n v="12.2324149659864"/>
        <n v="13.3996707317073"/>
        <n v="25.5120505617978"/>
        <n v="44.2467"/>
        <n v="60.5268789808917"/>
        <n v="32.574034334764"/>
        <n v="20.4327419354839"/>
        <n v="160.7354"/>
        <n v="41.7965408805031"/>
        <n v="30.5854375"/>
        <n v="46.1623163841808"/>
        <n v="14.0907462686567"/>
        <n v="62.6885882352941"/>
        <n v="36.0791666666667"/>
        <n v="110.153064516129"/>
        <n v="15.4491865079365"/>
        <n v="25.4018713450292"/>
        <n v="7.03336973478939"/>
        <n v="35.1189696969697"/>
        <n v="9.14809976247031"/>
        <n v="14.1399570815451"/>
        <n v="23.7820446096654"/>
        <n v="24.4850700280112"/>
        <n v="3.25012612612613"/>
        <n v="10.5891404011461"/>
        <n v="12.11112"/>
        <n v="16.1646"/>
        <n v="56.7730357142857"/>
        <n v="8.55207573632539"/>
        <n v="17.8109907834101"/>
        <n v="47.8647567567568"/>
        <n v="20.9724742268041"/>
        <n v="62.3665420560748"/>
        <n v="19.6365882352941"/>
        <n v="18.8138766519824"/>
        <n v="14.0958186397985"/>
        <n v="40.7783333333333"/>
        <n v="17.9713833992095"/>
        <n v="14.2200706713781"/>
        <n v="49.0829891304348"/>
        <n v="28.3007342657343"/>
        <n v="6.83009316770186"/>
        <n v="5.89004667444574"/>
        <n v="26.4763461538462"/>
        <n v="65.431847826087"/>
        <n v="7.5601171875"/>
        <n v="14.7241544117647"/>
        <n v="5.20338630806846"/>
        <n v="36.2739361702128"/>
        <n v="32.6717857142857"/>
        <n v="69.5977181208054"/>
        <n v="26.7360130718954"/>
        <n v="55.3748192771084"/>
        <n v="85.2141666666667"/>
        <n v="12.1207692307692"/>
        <n v="16.677914893617"/>
        <n v="21.838125"/>
        <n v="19.5892307692308"/>
        <n v="14.4725723472669"/>
        <n v="20.8525526932084"/>
        <n v="14.0051603498542"/>
        <n v="35.1555208333333"/>
        <n v="6.63416949152542"/>
        <n v="24.0232647058824"/>
        <n v="34.06225"/>
        <n v="14.3707220216607"/>
        <n v="54.3671052631579"/>
        <n v="27.7225984251969"/>
        <n v="20.8140340909091"/>
        <n v="16.9806680161943"/>
        <n v="47.0000847457627"/>
        <n v="5.90048478015784"/>
        <n v="9.40813688212928"/>
        <n v="58.8259677419355"/>
        <n v="4.75397008055236"/>
        <n v="19.5598695652174"/>
        <n v="17.8862182741117"/>
        <n v="120.063833333333"/>
        <n v="12.12325"/>
        <n v="34.0762085308057"/>
        <n v="8.33790251107829"/>
        <n v="71.9374038461538"/>
        <n v="17.0206338028169"/>
        <n v="22.4855769230769"/>
        <n v="39.1993264248705"/>
        <n v="32.1609027777778"/>
        <n v="27.6222457627119"/>
        <n v="21.6698404255319"/>
        <n v="9.95800309597523"/>
        <n v="25.2049743589744"/>
        <n v="21.3629219143577"/>
        <n v="11.1793220338983"/>
        <n v="7.57001242236025"/>
        <n v="85.2425961538462"/>
        <n v="102.010784313726"/>
        <n v="10.5826821541711"/>
        <n v="60.7933333333333"/>
        <n v="21.5690310077519"/>
        <n v="8.42749140893471"/>
        <n v="29.9366315789474"/>
        <n v="25.2893377483444"/>
        <n v="9.30872759856631"/>
        <n v="18.2009696969697"/>
        <n v="7.7054"/>
        <n v="2.53177049180328"/>
        <n v="38.3917289719626"/>
        <n v="29.727969924812"/>
        <n v="108.859259259259"/>
        <n v="41.9261403508772"/>
        <n v="15.6936607142857"/>
        <n v="78.084794520548"/>
        <n v="42.211"/>
        <n v="11.23788"/>
        <n v="36.4810483870968"/>
        <n v="25.8976963350785"/>
        <n v="40.1148305084746"/>
        <n v="20.1848484848485"/>
        <n v="18.2429953917051"/>
        <n v="11.5415044247788"/>
        <n v="14.4438907849829"/>
        <n v="32.2651"/>
        <n v="32.2978767123288"/>
        <n v="17.8739189189189"/>
        <n v="9.34293233082707"/>
        <n v="7.0305078125"/>
        <n v="47.885401459854"/>
        <n v="6.78043927648579"/>
        <n v="48.4931578947368"/>
        <n v="15.0117439293598"/>
        <n v="36.0873825503356"/>
        <n v="21.6882098765432"/>
        <n v="6.71605882352941"/>
        <n v="14.3070623145401"/>
        <n v="14.1256722689076"/>
        <n v="45.891978021978"/>
        <n v="8.50209267563528"/>
        <n v="30.556"/>
        <n v="20.1524025974026"/>
        <n v="33.7437872340426"/>
        <n v="10.9658050847458"/>
        <n v="45.5500510204082"/>
        <n v="18.4899716713881"/>
        <n v="64.6057142857143"/>
        <n v="10.1764748201439"/>
        <n v="11.2906109324759"/>
        <n v="76.9074242424242"/>
        <n v="39.2457142857143"/>
        <n v="39.0534567901235"/>
        <n v="18.4422834645669"/>
        <n v="24.142806122449"/>
        <n v="13.8103267973856"/>
        <n v="17.0797555012225"/>
        <n v="27.9327272727273"/>
        <n v="11.049769874477"/>
        <n v="13.780906200318"/>
        <n v="83.0460256410256"/>
        <n v="22.8347550432277"/>
        <n v="35.1520134228188"/>
        <n v="33.7810909090909"/>
        <n v="37.4144390243902"/>
        <n v="40.8657272727273"/>
        <n v="26.846675"/>
        <n v="31.1087272727273"/>
        <n v="15.6826987447699"/>
        <n v="18.9936585365854"/>
        <n v="16.1542465753425"/>
        <n v="64.3000675675676"/>
        <n v="39.2288461538462"/>
        <n v="13.8661510791367"/>
        <n v="9.05876275510204"/>
        <n v="15.542864321608"/>
        <n v="36.4010476190476"/>
        <n v="26.2654782608696"/>
        <n v="20.7674074074074"/>
        <n v="23.5740161725067"/>
        <n v="63.3912751677852"/>
        <n v="14.4569230769231"/>
        <n v="58.594328358209"/>
        <n v="60.0955813953488"/>
        <n v="16.7023708920188"/>
        <n v="20.8511158798283"/>
        <n v="4.93027486910995"/>
        <n v="39.3313675213675"/>
        <n v="48.3018705035971"/>
        <n v="109.86953125"/>
        <n v="148.021492537313"/>
        <n v="15.6186397984887"/>
        <n v="21.6643722943723"/>
        <n v="28.3568442622951"/>
        <n v="15.2229460580913"/>
        <n v="72.8950476190476"/>
        <n v="17.0556301145663"/>
        <n v="8.07926736441484"/>
        <n v="22.7122764227642"/>
        <n v="32.287094017094"/>
        <n v="31.0297183098592"/>
        <n v="3.13918896999189"/>
        <n v="6.58273301737757"/>
        <n v="90.5969230769231"/>
        <n v="21.617213740458"/>
        <n v="62.3307594936709"/>
        <n v="6.17388888888889"/>
        <n v="15.7346437346437"/>
        <n v="11.6065969581749"/>
        <n v="17.70890625"/>
        <n v="9.96042276422764"/>
        <n v="18.2923717948718"/>
        <n v="19.5415531914894"/>
        <n v="8.01839918946302"/>
        <n v="36.1271649484536"/>
        <n v="15.7986909871245"/>
        <n v="13.889209486166"/>
        <n v="5.93200825309491"/>
        <n v="18.6325177304965"/>
        <n v="23.6254572271386"/>
        <n v="7.822"/>
        <n v="7.60931891891892"/>
        <n v="27.3791851851852"/>
        <n v="96.6230120481928"/>
        <n v="14.7795084485407"/>
        <n v="33.7930065359477"/>
        <n v="10.819475465313"/>
        <n v="12.6771582733813"/>
        <n v="18.8807344632768"/>
        <n v="24.8427777777778"/>
        <n v="15.5266978193146"/>
        <n v="8.44088269454123"/>
        <n v="25.0944986449865"/>
        <n v="18.5548706896552"/>
        <n v="10.6495738636364"/>
        <n v="5.98638316920322"/>
        <n v="8.43888143176734"/>
        <n v="11.499921875"/>
        <n v="50.8283962264151"/>
        <n v="28.6323131672598"/>
        <n v="9.2585549132948"/>
        <n v="13.6841894060995"/>
        <n v="6.21133514986376"/>
        <n v="56.6994230769231"/>
        <n v="29.7959134615385"/>
        <n v="178.926730769231"/>
        <n v="30.0606214689266"/>
        <n v="89.4561728395062"/>
        <n v="11.4468546637744"/>
        <n v="55.7658241758242"/>
        <n v="4.73860819828408"/>
        <n v="16.95465625"/>
        <n v="5.64941111111111"/>
        <n v="6.02430701754386"/>
        <n v="8.18788944723618"/>
        <n v="21.208156424581"/>
        <n v="19.3511616161616"/>
        <n v="13.9092286501377"/>
        <n v="15.778"/>
        <n v="80.8806666666667"/>
        <n v="15.8687719298246"/>
        <n v="9.58229281767956"/>
        <n v="7.9795905707196"/>
        <n v="9.06801120448179"/>
        <n v="16.6237657657658"/>
        <n v="45.2831451612903"/>
        <n v="154.013793103448"/>
        <n v="9.64333858267717"/>
        <n v="18.4966298342541"/>
        <n v="13.2348514851485"/>
        <n v="17.8885198555957"/>
        <n v="6.45212518195051"/>
        <n v="10.0654093097913"/>
        <n v="55.5389010989011"/>
        <n v="5.97416743330267"/>
        <n v="12.6068888888889"/>
        <n v="16.9198721227621"/>
        <n v="75.3043564356436"/>
        <n v="13.3107592190889"/>
        <n v="84.9021153846154"/>
        <n v="7.22179584120983"/>
        <n v="57.4743333333333"/>
        <n v="19.0875870646766"/>
        <n v="11.3623244929797"/>
        <n v="40.5998979591837"/>
        <n v="3.01352558895207"/>
        <n v="13.6579696969697"/>
        <n v="41.1495901639344"/>
        <n v="29.6765346534653"/>
        <n v="46.3659756097561"/>
        <n v="17.555347985348"/>
        <n v="69.233431372549"/>
        <n v="36.5892517006803"/>
        <n v="17.3322077922078"/>
        <n v="14.1270639032815"/>
        <n v="49.0601986754967"/>
        <n v="5.01419259259259"/>
        <n v="18.4299232736573"/>
        <n v="53.0122012578616"/>
        <n v="5.88524642289348"/>
        <n v="5.26035483870968"/>
        <n v="5.76907368421053"/>
        <n v="31.3759926470588"/>
        <n v="7.08997448979592"/>
        <n v="7.6209746588694"/>
        <n v="105.667733333333"/>
        <n v="16.1669250645995"/>
        <n v="21.0314379084967"/>
        <n v="18.4502432432432"/>
        <n v="68.7056779661017"/>
        <n v="44.0498639455782"/>
        <n v="44.6057297297297"/>
        <n v="11.8762218649518"/>
        <n v="21.2033653846154"/>
        <n v="21.3881919642857"/>
        <n v="6.43662374821173"/>
        <n v="12.4280830039526"/>
        <n v="32.5652"/>
        <n v="18.6940662650602"/>
        <n v="23.7306333333333"/>
        <n v="12.1463109048724"/>
        <n v="65.9495555555556"/>
        <n v="12.5713916500994"/>
        <n v="32.1229411764706"/>
        <n v="16.7659672131148"/>
        <n v="15.4952753623188"/>
        <n v="32.4859333333333"/>
        <n v="11.6572419354839"/>
        <n v="19.4117006802721"/>
      </sharedItems>
    </cacheField>
    <cacheField name="ROAS" numFmtId="0">
      <sharedItems containsSemiMixedTypes="0" containsString="0" containsNumber="1" minValue="0" maxValue="18.9957066719305" count="500">
        <n v="7.22159735380702"/>
        <n v="0.29182713231128"/>
        <n v="10.5763167224303"/>
        <n v="2.51826532425783"/>
        <n v="1.41230171117973"/>
        <n v="7.88236696123162"/>
        <n v="1.69347654050292"/>
        <n v="2.48476065818998"/>
        <n v="1.27668280664"/>
        <n v="0.225452257451613"/>
        <n v="2.8482735272011"/>
        <n v="0.644383130881193"/>
        <n v="1.27592558655333"/>
        <n v="0.397368840037032"/>
        <n v="0.551013481446113"/>
        <n v="0.792970759119916"/>
        <n v="11.4814431771678"/>
        <n v="1.75753077968623"/>
        <n v="1.81579797864886"/>
        <n v="1.07097632154565"/>
        <n v="2.48231061680308"/>
        <n v="2.26889426943941"/>
        <n v="0.48776442910311"/>
        <n v="0.675574542850546"/>
        <n v="0.947619782691563"/>
        <n v="3.89529431050347"/>
        <n v="4.93966831270888"/>
        <n v="0.73448213368774"/>
        <n v="4.62466399657379"/>
        <n v="1.39127675271188"/>
        <n v="2.49845789276186"/>
        <n v="1.89519504600637"/>
        <n v="1.52828476304797"/>
        <n v="18.9957066719305"/>
        <n v="7.50279379229043"/>
        <n v="0.750033674030816"/>
        <n v="1.65903726429292"/>
        <n v="0.695289751769627"/>
        <n v="3.40446356717846"/>
        <n v="1.84135456087694"/>
        <n v="0.658038102941526"/>
        <n v="13.5297439609543"/>
        <n v="0.326081612452933"/>
        <n v="0.95984094839206"/>
        <n v="1.35368444173417"/>
        <n v="3.78307443288473"/>
        <n v="2.35767659395904"/>
        <n v="1.67592391857394"/>
        <n v="4.76415981749816"/>
        <n v="0.266752827018984"/>
        <n v="0.963868549618695"/>
        <n v="1.02214988524553"/>
        <n v="0.756589432930823"/>
        <n v="0.734824220472227"/>
        <n v="0.483246695609686"/>
        <n v="1.00392604952145"/>
        <n v="5.04911002102313"/>
        <n v="3.53464620189056"/>
        <n v="2.4477032971493"/>
        <n v="1.23569990631392"/>
        <n v="5.69485041294173"/>
        <n v="0.937861651844214"/>
        <n v="2.55047425835958"/>
        <n v="11.0364719659242"/>
        <n v="0.756791269647365"/>
        <n v="2.16732325027836"/>
        <n v="2.75005303296025"/>
        <n v="11.4415163486262"/>
        <n v="0.717159073519728"/>
        <n v="0.324117625938027"/>
        <n v="1.85371366561631"/>
        <n v="0.813707691012437"/>
        <n v="4.75692564473122"/>
        <n v="1.30416119691444"/>
        <n v="4.1247017602904"/>
        <n v="1.97909582539003"/>
        <n v="1.53405825624877"/>
        <n v="0.90462294239413"/>
        <n v="5.10234065651902"/>
        <n v="2.20182219329852"/>
        <n v="0.752091443239941"/>
        <n v="8.88109966857902"/>
        <n v="3.38925075952039"/>
        <n v="2.66461211823859"/>
        <n v="0.456766349964954"/>
        <n v="0.668986728833066"/>
        <n v="2.78618011297174"/>
        <n v="0.314614495020708"/>
        <n v="1.0900904564342"/>
        <n v="0.789552546126899"/>
        <n v="3.80785843574776"/>
        <n v="0.352215128737991"/>
        <n v="1.93641925608306"/>
        <n v="0.263668165151961"/>
        <n v="0.640902880112914"/>
        <n v="4.34574172137747"/>
        <n v="0.324932388371822"/>
        <n v="6.42460625481472"/>
        <n v="4.92284662312881"/>
        <n v="0.780478983535924"/>
        <n v="3.11061916720925"/>
        <n v="1.7387466030462"/>
        <n v="4.79801082247433"/>
        <n v="2.85706142850879"/>
        <n v="3.75270840559602"/>
        <n v="1.39468858164836"/>
        <n v="5.65961021130298"/>
        <n v="1.36894113168992"/>
        <n v="1.25916590840158"/>
        <n v="1.93260015128369"/>
        <n v="0.590280448703747"/>
        <n v="2.3187531827939"/>
        <n v="1.48003459518462"/>
        <n v="3.74241048540241"/>
        <n v="1.89209075595937"/>
        <n v="2.84623085739536"/>
        <n v="1.1311578727496"/>
        <n v="0.582409451398554"/>
        <n v="4.22674250986"/>
        <n v="2.40080774056508"/>
        <n v="2.75231324498995"/>
        <n v="1.75425861952178"/>
        <n v="0.37476798405361"/>
        <n v="1.9525641025641"/>
        <n v="3.09257281091586"/>
        <n v="0.304131089016234"/>
        <n v="0.761707833285911"/>
        <n v="2.85510676026353"/>
        <n v="0.77531035409908"/>
        <n v="2.6224732174269"/>
        <n v="0.920236125913479"/>
        <n v="1.33498285218717"/>
        <n v="0.604862942148128"/>
        <n v="1.43658361499987"/>
        <n v="1.62913350423058"/>
        <n v="0.150695410455753"/>
        <n v="2.05214176803618"/>
        <n v="0.962719396665734"/>
        <n v="2.25408719444248"/>
        <n v="0.737585593865114"/>
        <n v="2.79064801735303"/>
        <n v="6.01842123204654"/>
        <n v="2.12930146475759"/>
        <n v="3.24724950456915"/>
        <n v="0.410905409314435"/>
        <n v="1.09955494135137"/>
        <n v="0.616230099468301"/>
        <n v="0.547492116182573"/>
        <n v="5.92579163234632"/>
        <n v="2.06193837276888"/>
        <n v="0.629212175985285"/>
        <n v="0.585056970892388"/>
        <n v="4.04346895444581"/>
        <n v="0.690730765385192"/>
        <n v="2.80384540542159"/>
        <n v="13.7767182660053"/>
        <n v="0.479281156714917"/>
        <n v="0.364099586960155"/>
        <n v="0.755659482635454"/>
        <n v="2.92153545695108"/>
        <n v="2.4764309809381"/>
        <n v="0.678423524255713"/>
        <n v="5.43952995385423"/>
        <n v="1.21872806434267"/>
        <n v="4.95976825456084"/>
        <n v="0.790825083002945"/>
        <n v="0.315773433151741"/>
        <n v="1.50276322816701"/>
        <n v="0.608171521524851"/>
        <n v="0.373680754059299"/>
        <n v="8.08900170658576"/>
        <n v="1.78219153928576"/>
        <n v="1.11416537240006"/>
        <n v="2.82185924388294"/>
        <n v="3.80751930920641"/>
        <n v="1.0151473138706"/>
        <n v="3.6286408644368"/>
        <n v="2.73610836815248"/>
        <n v="1.78305581521841"/>
        <n v="0.539583742968402"/>
        <n v="0.443758208176185"/>
        <n v="0.943846635264666"/>
        <n v="1.74275422379746"/>
        <n v="0.283480801366718"/>
        <n v="1.10773814450054"/>
        <n v="0.682138354241295"/>
        <n v="0.890821260768622"/>
        <n v="1.45033789509364"/>
        <n v="0.506747639592908"/>
        <n v="0.843912691996766"/>
        <n v="0.289563349532688"/>
        <n v="3.13839275967425"/>
        <n v="1.36854125035684"/>
        <n v="7.02380007053516"/>
        <n v="1.11056788785479"/>
        <n v="2.60889038908435"/>
        <n v="1.70897314097875"/>
        <n v="1.27701383537297"/>
        <n v="1.63473997188019"/>
        <n v="6.53084010599727"/>
        <n v="2.39021433538712"/>
        <n v="2.79275244568628"/>
        <n v="2.17156749935043"/>
        <n v="0.774704415136713"/>
        <n v="5.40305823738075"/>
        <n v="1.58926231279035"/>
        <n v="0.53349527610452"/>
        <n v="1.64671415158799"/>
        <n v="0.543177056953015"/>
        <n v="1.40417048606743"/>
        <n v="1.87894983316748"/>
        <n v="2.37108383785677"/>
        <n v="0.688534556749908"/>
        <n v="1.65053356675963"/>
        <n v="1.65912411661216"/>
        <n v="0.822546552146044"/>
        <n v="0.79883518799705"/>
        <n v="6.20243199699297"/>
        <n v="4.840925794955"/>
        <n v="1.40213325392041"/>
        <n v="0.583404903542186"/>
        <n v="3.2520370571306"/>
        <n v="1.73843749141691"/>
        <n v="9.0139297100581"/>
        <n v="0.890774983503189"/>
        <n v="0.977469517046041"/>
        <n v="0.639563319787928"/>
        <n v="1.4983266554377"/>
        <n v="0.670853178013581"/>
        <n v="0.300552529411189"/>
        <n v="2.90644199096357"/>
        <n v="2.29756513263814"/>
        <n v="1.12788496526798"/>
        <n v="1.10033476007225"/>
        <n v="1.51329380111398"/>
        <n v="2.12425932498057"/>
        <n v="3.05650353784632"/>
        <n v="0.920345014563265"/>
        <n v="6.77079288191251"/>
        <n v="1.74522613495986"/>
        <n v="0.645725840189653"/>
        <n v="3.14910103524766"/>
        <n v="0.479128246085336"/>
        <n v="1.60292492835374"/>
        <n v="1.47808515342849"/>
        <n v="2.62050796035024"/>
        <n v="0.720858779555031"/>
        <n v="5.94554743939791"/>
        <n v="3.34994382340341"/>
        <n v="0.658334727092764"/>
        <n v="8.16817147560031"/>
        <n v="2.24033902600044"/>
        <n v="2.61747765415053"/>
        <n v="0.244467179264364"/>
        <n v="1.73270162703895"/>
        <n v="1.35880685611287"/>
        <n v="2.79674069402419"/>
        <n v="0.443700385885699"/>
        <n v="1.57911482748776"/>
        <n v="1.74487064357494"/>
        <n v="0.702919977212255"/>
        <n v="1.46928529939519"/>
        <n v="1.22582970922785"/>
        <n v="1.73452538457951"/>
        <n v="2.06299521053589"/>
        <n v="1.46613916259916"/>
        <n v="1.92937809807242"/>
        <n v="3.41715182388793"/>
        <n v="6.34490454326158"/>
        <n v="0.27447680432431"/>
        <n v="0.232719531768075"/>
        <n v="3.36069268993594"/>
        <n v="0.356007298558565"/>
        <n v="0.933697646460526"/>
        <n v="4.28619515576578"/>
        <n v="1.0157654648298"/>
        <n v="1.05728927983157"/>
        <n v="2.71697851671168"/>
        <n v="2.60674922415056"/>
        <n v="5.05722332019474"/>
        <n v="10.009233478807"/>
        <n v="0.844940803302892"/>
        <n v="1.17955799707625"/>
        <n v="0.390402150244965"/>
        <n v="0.623816318588663"/>
        <n v="2.17680307676553"/>
        <n v="0.554088547925596"/>
        <n v="0.787066336804557"/>
        <n v="2.19411490423461"/>
        <n v="1.32626308401402"/>
        <n v="1.51828176109784"/>
        <n v="0.615347889005081"/>
        <n v="1.03111394685483"/>
        <n v="2.20121604656039"/>
        <n v="3.81210943190793"/>
        <n v="1.87937552870233"/>
        <n v="1.29142633991526"/>
        <n v="0.988161357568355"/>
        <n v="1.6109747707289"/>
        <n v="2.41522145591403"/>
        <n v="3.61895144487474"/>
        <n v="0.976918738472326"/>
        <n v="4.0974785603315"/>
        <n v="0.578265698543112"/>
        <n v="2.4355206813797"/>
        <n v="1.34267493890668"/>
        <n v="2.12345986469294"/>
        <n v="6.55081469933055"/>
        <n v="1.96129196844123"/>
        <n v="1.96356237971867"/>
        <n v="1.07931908902176"/>
        <n v="3.31321049948136"/>
        <n v="0.770144830951219"/>
        <n v="1.81741727807905"/>
        <n v="0.776221060078514"/>
        <n v="4.28610124694254"/>
        <n v="0.834587653635102"/>
        <n v="2.56530145734002"/>
        <n v="0.550531797275783"/>
        <n v="4.14102210628265"/>
        <n v="2.42329511474121"/>
        <n v="0.398793118054174"/>
        <n v="0.942577897495632"/>
        <n v="1.23177000186512"/>
        <n v="1.13518944682353"/>
        <n v="0.892305351448334"/>
        <n v="2.17426572897046"/>
        <n v="1.30295378219829"/>
        <n v="1.45535637570787"/>
        <n v="4.03384648007588"/>
        <n v="2.04372308405792"/>
        <n v="0.273913600582933"/>
        <n v="2.12426706850117"/>
        <n v="1.03143585386576"/>
        <n v="1.30833064220974"/>
        <n v="1.21546266212601"/>
        <n v="0.651799796673363"/>
        <n v="0.789028808967964"/>
        <n v="0.817046371085577"/>
        <n v="1.34022781814568"/>
        <n v="2.51304386287821"/>
        <n v="2.1187260560766"/>
        <n v="0.459922386698345"/>
        <n v="0.965821854012452"/>
        <n v="1.60885288173934"/>
        <n v="4.60802413944104"/>
        <n v="2.32806018693643"/>
        <n v="1.06526499760603"/>
        <n v="1.02753821349233"/>
        <n v="0.993772887240215"/>
        <n v="2.04343719843219"/>
        <n v="0.481475442812828"/>
        <n v="2.37922455791547"/>
        <n v="0.845176294379264"/>
        <n v="0.543146383087407"/>
        <n v="1.39586322821111"/>
        <n v="1.38550030772017"/>
        <n v="4.16532907853762"/>
        <n v="0.801644801891446"/>
        <n v="1.00407807017021"/>
        <n v="0.29605569105402"/>
        <n v="0.229845605317501"/>
        <n v="3.1843402251395"/>
        <n v="1.82278043429174"/>
        <n v="0.949332786053617"/>
        <n v="1.68122211228409"/>
        <n v="0.298171670163758"/>
        <n v="2.80450321898399"/>
        <n v="3.94680090586729"/>
        <n v="1.08385804269983"/>
        <n v="0.827405832819337"/>
        <n v="1.20537936523067"/>
        <n v="8.90930910293442"/>
        <n v="7.39351599641938"/>
        <n v="0.437732432753702"/>
        <n v="1.49203260760173"/>
        <n v="0.669054228868856"/>
        <n v="4.3093580341342"/>
        <n v="2.8940099937539"/>
        <n v="3.25437546170642"/>
        <n v="2.27797756123016"/>
        <n v="4.65430990293291"/>
        <n v="2.48832998669522"/>
        <n v="2.30843494441196"/>
        <n v="4.80873270189129"/>
        <n v="1.28507548507777"/>
        <n v="2.83406432053506"/>
        <n v="3.04590818931294"/>
        <n v="7.57990015234535"/>
        <n v="1.53554850533937"/>
        <n v="1.64883138157804"/>
        <n v="4.62791579865114"/>
        <n v="5.62873404161611"/>
        <n v="1.10507847269756"/>
        <n v="0.238817862491287"/>
        <n v="1.4909234149495"/>
        <n v="0.651629586506084"/>
        <n v="3.57017879958901"/>
        <n v="3.88136482939633"/>
        <n v="1.26597723643407"/>
        <n v="0.831779114579839"/>
        <n v="2.77665040820053"/>
        <n v="3.34192580769442"/>
        <n v="1.33661163709642"/>
        <n v="2.19944804900656"/>
        <n v="3.7949848612167"/>
        <n v="8.10604789443066"/>
        <n v="5.72451208584956"/>
        <n v="2.7763520811962"/>
        <n v="0.635078074393863"/>
        <n v="0.921795298843603"/>
        <n v="3.35427943536052"/>
        <n v="3.58412245975191"/>
        <n v="6.97078822228851"/>
        <n v="0.755399311031745"/>
        <n v="0.703981412009584"/>
        <n v="0.245330329668676"/>
        <n v="0.790256224239907"/>
        <n v="0.290821769402218"/>
        <n v="3.27243888573053"/>
        <n v="0.525606490248665"/>
        <n v="4.67930715377806"/>
        <n v="2.24130907991721"/>
        <n v="8.10768870698421"/>
        <n v="5.71272520243283"/>
        <n v="6.05771178170972"/>
        <n v="1.81744664485573"/>
        <n v="1.04867768228358"/>
        <n v="1.62740911656648"/>
        <n v="1.41699563587636"/>
        <n v="0.457787604784003"/>
        <n v="1.63872182667787"/>
        <n v="4.07970214397528"/>
        <n v="6.02616943038614"/>
        <n v="4.55136410814017"/>
        <n v="2.64993133677065"/>
        <n v="0.494741866143317"/>
        <n v="0.289058301988178"/>
        <n v="3.71158581992057"/>
        <n v="1.17916359259115"/>
        <n v="3.48726983462007"/>
        <n v="1.68302684899659"/>
        <n v="6.16250245340781"/>
        <n v="4.13058725032891"/>
        <n v="0.886655032409716"/>
        <n v="6.76359425431789"/>
        <n v="2.19962983201424"/>
        <n v="2.47135815420056"/>
        <n v="0.403403219147644"/>
        <n v="1.5929426067344"/>
        <n v="0.390549297720678"/>
        <n v="6.39767376116723"/>
        <n v="0.49247838165442"/>
        <n v="1.37890009526652"/>
        <n v="3.69584457488072"/>
        <n v="1.1643137737855"/>
        <n v="16.3070963567992"/>
        <n v="2.54564434573664"/>
        <n v="0.810680742990887"/>
        <n v="1.27334661181785"/>
        <n v="1.05858480119726"/>
        <n v="1.69496579108252"/>
        <n v="0.709117067720599"/>
        <n v="0.60686942003711"/>
        <n v="1.73723318697018"/>
        <n v="1.94388824840426"/>
        <n v="0.509807521236918"/>
        <n v="8.39458367064747"/>
        <n v="2.45932196333662"/>
        <n v="0.86863235472076"/>
        <n v="4.77337633920612"/>
        <n v="9.14352337325459"/>
        <n v="5.81826143757458"/>
        <n v="1.12242054680717"/>
        <n v="6.99563914265257"/>
        <n v="6.37114790411197"/>
        <n v="0.318376596829306"/>
        <n v="2.47455327174504"/>
        <n v="1.39020016719446"/>
        <n v="2.17899419768874"/>
        <n v="0.584785013944275"/>
        <n v="0.574678047296431"/>
        <n v="1.08368213512747"/>
        <n v="3.24475396676057"/>
        <n v="0.986240165068136"/>
        <n v="1.88400225007332"/>
        <n v="4.9429543029872"/>
        <n v="3.19722323375118"/>
        <n v="1.51435397295272"/>
        <n v="2.32542057189076"/>
        <n v="1.95340200219407"/>
        <n v="3.29546939290094"/>
        <n v="0.66618257051686"/>
        <n v="1.87777638963787"/>
        <n v="0.925743009394056"/>
        <n v="2.43731837719659"/>
        <n v="1.75061870191381"/>
        <n v="0.683245466242825"/>
        <n v="3.30993470762326"/>
        <n v="2.36455325352547"/>
      </sharedItems>
    </cacheField>
    <cacheField name="Profit" numFmtId="0">
      <sharedItems containsSemiMixedTypes="0" containsString="0" containsNumber="1" minValue="-7983.63" maxValue="63645.05" count="500">
        <n v="37956.97"/>
        <n v="-4312.1"/>
        <n v="34575.1"/>
        <n v="9738.67"/>
        <n v="3143.38"/>
        <n v="26277.29"/>
        <n v="3706.75"/>
        <n v="5240.73"/>
        <n v="1774.27"/>
        <n v="-4997.87"/>
        <n v="11409.91"/>
        <n v="-3736.47"/>
        <n v="1174.4"/>
        <n v="-3065.88"/>
        <n v="-1560.96"/>
        <n v="-1412.84"/>
        <n v="61213.41"/>
        <n v="6905.34"/>
        <n v="6310.54"/>
        <n v="252.45"/>
        <n v="7474.24"/>
        <n v="6168.26"/>
        <n v="-2125.04"/>
        <n v="-3316.29"/>
        <n v="-166.27"/>
        <n v="24196.93"/>
        <n v="18118.18"/>
        <n v="-1758.1"/>
        <n v="16842.11"/>
        <n v="3113.26"/>
        <n v="5830.17"/>
        <n v="6396.84"/>
        <n v="3265.55"/>
        <n v="54699.75"/>
        <n v="32213.8"/>
        <n v="-1094.91"/>
        <n v="2496.13"/>
        <n v="-1357.28"/>
        <n v="18972.54"/>
        <n v="3868.38"/>
        <n v="-3162.32"/>
        <n v="41023.76"/>
        <n v="-6223.05"/>
        <n v="-244.31"/>
        <n v="1223.78"/>
        <n v="13995.97"/>
        <n v="8218.03"/>
        <n v="3055.46"/>
        <n v="15246.24"/>
        <n v="-3897.7"/>
        <n v="-294.79"/>
        <n v="155.96"/>
        <n v="-1928.89"/>
        <n v="-1954.73"/>
        <n v="-3691.05"/>
        <n v="31.1300000000001"/>
        <n v="13000.68"/>
        <n v="7531.98"/>
        <n v="9274.19"/>
        <n v="1454.16"/>
        <n v="21095.7"/>
        <n v="-498.38"/>
        <n v="13068.87"/>
        <n v="38996.21"/>
        <n v="-2239.77"/>
        <n v="6468.5"/>
        <n v="16664.67"/>
        <n v="31796.61"/>
        <n v="-1645"/>
        <n v="-4141.28"/>
        <n v="5884.58"/>
        <n v="-862.96"/>
        <n v="20303.14"/>
        <n v="2713.2"/>
        <n v="10398.57"/>
        <n v="5033.14"/>
        <n v="4884.39"/>
        <n v="-604.97"/>
        <n v="18213.49"/>
        <n v="3785.8"/>
        <n v="-2580.5"/>
        <n v="35455.57"/>
        <n v="15618.58"/>
        <n v="13265.81"/>
        <n v="-4355.68"/>
        <n v="-2467.79"/>
        <n v="10352.95"/>
        <n v="-5730.94"/>
        <n v="841.879999999999"/>
        <n v="-1512.65"/>
        <n v="25378.66"/>
        <n v="-5800.92"/>
        <n v="8001.74"/>
        <n v="-6733.6"/>
        <n v="-1674.1"/>
        <n v="10222.78"/>
        <n v="-3302.37"/>
        <n v="18519.66"/>
        <n v="14596.52"/>
        <n v="-977.2"/>
        <n v="6807.38"/>
        <n v="5610.81"/>
        <n v="22530.18"/>
        <n v="8470.8"/>
        <n v="9523.27"/>
        <n v="2866.71"/>
        <n v="16697.62"/>
        <n v="2946.6"/>
        <n v="2563.41"/>
        <n v="6287.87"/>
        <n v="-2311.65"/>
        <n v="4091.59"/>
        <n v="4362.54"/>
        <n v="9574.66"/>
        <n v="3495.39"/>
        <n v="13369.85"/>
        <n v="728.38"/>
        <n v="-3747.42"/>
        <n v="11192.15"/>
        <n v="10762.63"/>
        <n v="9948.04"/>
        <n v="5567.56"/>
        <n v="-6518"/>
        <n v="2756.53"/>
        <n v="7698.68"/>
        <n v="-3836.04"/>
        <n v="-1834.08"/>
        <n v="14447.59"/>
        <n v="-1905.33"/>
        <n v="7055.99"/>
        <n v="-731.949999999999"/>
        <n v="2549.32"/>
        <n v="-3305.93"/>
        <n v="3004.42"/>
        <n v="4309.64"/>
        <n v="-7216.66"/>
        <n v="8128.7"/>
        <n v="-390.42"/>
        <n v="8699.49"/>
        <n v="-1393.41"/>
        <n v="15858.14"/>
        <n v="26498.87"/>
        <n v="7334.35"/>
        <n v="7234.84"/>
        <n v="-3584.24"/>
        <n v="646.91"/>
        <n v="-2513.24"/>
        <n v="-4089.54"/>
        <n v="46406.08"/>
        <n v="8020.64"/>
        <n v="-3027.82"/>
        <n v="-3231.29"/>
        <n v="8815.56"/>
        <n v="-989.81"/>
        <n v="14461.14"/>
        <n v="63645.05"/>
        <n v="-2588.66"/>
        <n v="-5060.54"/>
        <n v="-1795.7"/>
        <n v="14414.11"/>
        <n v="11029.53"/>
        <n v="-2318.65"/>
        <n v="13026.38"/>
        <n v="1891.44"/>
        <n v="16758.65"/>
        <n v="-1116.4"/>
        <n v="-7363.79"/>
        <n v="3031.25"/>
        <n v="-2591.82"/>
        <n v="-5951.06"/>
        <n v="47853.03"/>
        <n v="5767.02"/>
        <n v="671.12"/>
        <n v="7223.18"/>
        <n v="28930.56"/>
        <n v="87.9499999999998"/>
        <n v="9453.46"/>
        <n v="19075.89"/>
        <n v="7111.94"/>
        <n v="-2037.19"/>
        <n v="-5285.81"/>
        <n v="-426.19"/>
        <n v="2822.83"/>
        <n v="-5758.5"/>
        <n v="715.990000000001"/>
        <n v="-1555.51"/>
        <n v="-892.07"/>
        <n v="1700.62"/>
        <n v="-2628.31"/>
        <n v="-1013.67"/>
        <n v="-4851.92"/>
        <n v="16650.36"/>
        <n v="1600.84"/>
        <n v="27157.64"/>
        <n v="640.7"/>
        <n v="6196.4"/>
        <n v="2335.79"/>
        <n v="1772.16"/>
        <n v="5548.37"/>
        <n v="19953.28"/>
        <n v="5137.69"/>
        <n v="5428.06"/>
        <n v="4734.48"/>
        <n v="-1432.56"/>
        <n v="26848.22"/>
        <n v="4554.98"/>
        <n v="-4130.89"/>
        <n v="2631.26"/>
        <n v="-3048.48"/>
        <n v="2698.42"/>
        <n v="7507.55"/>
        <n v="7672.64"/>
        <n v="-1828.95"/>
        <n v="2957.82"/>
        <n v="2652.5"/>
        <n v="-1602.63"/>
        <n v="-1628.23"/>
        <n v="34324.97"/>
        <n v="19388.11"/>
        <n v="2214.58"/>
        <n v="-2507.79"/>
        <n v="8717.14"/>
        <n v="2957.42"/>
        <n v="34110.25"/>
        <n v="-372.43"/>
        <n v="-185.500000000001"/>
        <n v="-3737.75"/>
        <n v="2038.46"/>
        <n v="-3025.59"/>
        <n v="-3576.17"/>
        <n v="9312.34"/>
        <n v="5085.56"/>
        <n v="625.58"/>
        <n v="613.23"/>
        <n v="2310.32"/>
        <n v="10010.45"/>
        <n v="9878.97"/>
        <n v="-537.66"/>
        <n v="33881.71"/>
        <n v="6086.94"/>
        <n v="-2896.17"/>
        <n v="17109.81"/>
        <n v="-2152.19"/>
        <n v="2122.76"/>
        <n v="3502.71"/>
        <n v="13593.55"/>
        <n v="-1548.12"/>
        <n v="25883.66"/>
        <n v="11629.12"/>
        <n v="-2492.25"/>
        <n v="29613.15"/>
        <n v="5580"/>
        <n v="11398.64"/>
        <n v="-5442.73"/>
        <n v="3553.09"/>
        <n v="2579.85"/>
        <n v="10142.17"/>
        <n v="-4161.95"/>
        <n v="4199.04"/>
        <n v="6096.58"/>
        <n v="-2247.55"/>
        <n v="2173.34"/>
        <n v="1472.15"/>
        <n v="5984.81"/>
        <n v="6838.11"/>
        <n v="4582.12"/>
        <n v="7882.13"/>
        <n v="9565.83"/>
        <n v="32571.1"/>
        <n v="-6431.93"/>
        <n v="-7983.63"/>
        <n v="23658.39"/>
        <n v="-4228.25"/>
        <n v="-368.96"/>
        <n v="16118.13"/>
        <n v="134.51"/>
        <n v="437.54"/>
        <n v="8918.45"/>
        <n v="9650.65"/>
        <n v="21883.77"/>
        <n v="27827.36"/>
        <n v="-1273.94"/>
        <n v="709.94"/>
        <n v="-3583.46"/>
        <n v="-1798"/>
        <n v="4136.91"/>
        <n v="-2541.78"/>
        <n v="-1258.34"/>
        <n v="6709.66"/>
        <n v="1475.9"/>
        <n v="2563.66"/>
        <n v="-1820.77"/>
        <n v="248.7"/>
        <n v="4755.29"/>
        <n v="7335.05"/>
        <n v="3721.57"/>
        <n v="940.29"/>
        <n v="-111.65"/>
        <n v="4040.59"/>
        <n v="10551.41"/>
        <n v="9427.23"/>
        <n v="-151.42"/>
        <n v="24383.63"/>
        <n v="-2331.44"/>
        <n v="9762"/>
        <n v="1842.57"/>
        <n v="7894.53"/>
        <n v="38025.19"/>
        <n v="4634.85"/>
        <n v="6478.82"/>
        <n v="331.25"/>
        <n v="13157.31"/>
        <n v="-772.58"/>
        <n v="5073.66"/>
        <n v="-1774.52"/>
        <n v="8504.2"/>
        <n v="-1476.77"/>
        <n v="10216.66"/>
        <n v="-2439.21"/>
        <n v="8886.14"/>
        <n v="4997.73"/>
        <n v="-3051.66"/>
        <n v="-410.150000000001"/>
        <n v="1466.33"/>
        <n v="949.91"/>
        <n v="-509.61"/>
        <n v="7443.6"/>
        <n v="2116.32"/>
        <n v="3497.82"/>
        <n v="16024.14"/>
        <n v="9047.19"/>
        <n v="-4703.29"/>
        <n v="8908.31"/>
        <n v="164.650000000001"/>
        <n v="2864.33"/>
        <n v="1652.59"/>
        <n v="-1565.24"/>
        <n v="-2265.55"/>
        <n v="-1565.15"/>
        <n v="2550.46"/>
        <n v="10604.41"/>
        <n v="11873.42"/>
        <n v="-5139.6"/>
        <n v="-244.02"/>
        <n v="2347"/>
        <n v="25624.44"/>
        <n v="4107.73"/>
        <n v="498.9"/>
        <n v="249.539999999999"/>
        <n v="-20.9500000000003"/>
        <n v="9125.86"/>
        <n v="-4897.62"/>
        <n v="10627.67"/>
        <n v="-1215.62"/>
        <n v="-3541.68"/>
        <n v="2816.65"/>
        <n v="1872.88"/>
        <n v="11922.94"/>
        <n v="-1825.57"/>
        <n v="27.3800000000001"/>
        <n v="-4949.89"/>
        <n v="-7637.96"/>
        <n v="13544.22"/>
        <n v="4117.58"/>
        <n v="-350.57"/>
        <n v="2499.22"/>
        <n v="-5371.78"/>
        <n v="18804.71"/>
        <n v="25022.2"/>
        <n v="702.799999999999"/>
        <n v="-1303.98"/>
        <n v="1357.42"/>
        <n v="30613.93"/>
        <n v="26640.95"/>
        <n v="-5297.73"/>
        <n v="2786.73"/>
        <n v="-1629.62"/>
        <n v="17652.91"/>
        <n v="12129.24"/>
        <n v="13763.12"/>
        <n v="10138.95"/>
        <n v="22385.06"/>
        <n v="12741.34"/>
        <n v="12017.36"/>
        <n v="30142.92"/>
        <n v="1998"/>
        <n v="13502.73"/>
        <n v="7189.26"/>
        <n v="28376.28"/>
        <n v="2813.97"/>
        <n v="5196.51"/>
        <n v="17310.31"/>
        <n v="32579.9"/>
        <n v="776.78"/>
        <n v="-6104.46"/>
        <n v="4723.4"/>
        <n v="-1801.19"/>
        <n v="16434.52"/>
        <n v="10154.65"/>
        <n v="2666.6"/>
        <n v="-1128.35"/>
        <n v="8854.95"/>
        <n v="17020.18"/>
        <n v="3116.98"/>
        <n v="5163.3"/>
        <n v="10477.42"/>
        <n v="47516.65"/>
        <n v="17821.71"/>
        <n v="10459.09"/>
        <n v="-1966.13"/>
        <n v="-629.21"/>
        <n v="7541.84"/>
        <n v="22030.29"/>
        <n v="27221.54"/>
        <n v="-2163.52"/>
        <n v="-1834.59"/>
        <n v="-7021.59"/>
        <n v="-1115.99"/>
        <n v="-5138.67"/>
        <n v="11991.66"/>
        <n v="-2407.4"/>
        <n v="18289.1"/>
        <n v="6734.71"/>
        <n v="36138.83"/>
        <n v="32365.63"/>
        <n v="16481.97"/>
        <n v="3103.24"/>
        <n v="373.02"/>
        <n v="3167.82"/>
        <n v="1842.22"/>
        <n v="-2631.27"/>
        <n v="5199.63"/>
        <n v="10682.84"/>
        <n v="32326.06"/>
        <n v="11496.76"/>
        <n v="15222.58"/>
        <n v="-2837.08"/>
        <n v="-6350.7"/>
        <n v="16604.45"/>
        <n v="1199.64"/>
        <n v="9974.35"/>
        <n v="3384.48"/>
        <n v="22883.36"/>
        <n v="19631.13"/>
        <n v="-572.85"/>
        <n v="37428.32"/>
        <n v="3402.81"/>
        <n v="9734.02"/>
        <n v="-4537.56"/>
        <n v="3638.45"/>
        <n v="-5381.34"/>
        <n v="41241.79"/>
        <n v="-4375.42"/>
        <n v="2907.38"/>
        <n v="19634.51"/>
        <n v="653.77"/>
        <n v="56783.97"/>
        <n v="6966.42"/>
        <n v="-950.43"/>
        <n v="1638.62"/>
        <n v="222.74"/>
        <n v="3330.7"/>
        <n v="-2054.16"/>
        <n v="-2114.5"/>
        <n v="2951.69"/>
        <n v="7720.6"/>
        <n v="-3631.39"/>
        <n v="25027.56"/>
        <n v="10516.02"/>
        <n v="-1107.29"/>
        <n v="13968.36"/>
        <n v="26559.45"/>
        <n v="13203.53"/>
        <n v="1044.77"/>
        <n v="16663.5"/>
        <n v="41997.65"/>
        <n v="-5401.92"/>
        <n v="9225.69"/>
        <n v="1255.59"/>
        <n v="8048.51"/>
        <n v="-3366.26"/>
        <n v="-2754.1"/>
        <n v="690.550000000001"/>
        <n v="16582.02"/>
        <n v="-121.370000000001"/>
        <n v="8470.43"/>
        <n v="17740.14"/>
        <n v="13817.48"/>
        <n v="4187.51"/>
        <n v="8226.13"/>
        <n v="6787.45"/>
        <n v="12016.92"/>
        <n v="-2972.04"/>
        <n v="5550.54"/>
        <n v="-405.509999999999"/>
        <n v="7349.9"/>
        <n v="4012.71"/>
        <n v="-1543.51"/>
        <n v="16695.03"/>
        <n v="7787.56"/>
      </sharedItems>
    </cacheField>
    <cacheField name="Profit Margin %" numFmtId="0">
      <sharedItems containsSemiMixedTypes="0" containsString="0" containsNumber="1" minValue="-5.63590216168937" maxValue="0.947356525489116" count="500">
        <n v="0.861526480776053"/>
        <n v="-2.42668617575058"/>
        <n v="0.905449125036205"/>
        <n v="0.602901254936387"/>
        <n v="0.291935999167856"/>
        <n v="0.873134554009174"/>
        <n v="0.409498758274488"/>
        <n v="0.59754675095007"/>
        <n v="0.21672008520909"/>
        <n v="-3.43552888448954"/>
        <n v="0.648910123817123"/>
        <n v="-0.551871785706901"/>
        <n v="0.216255234208985"/>
        <n v="-1.51655363794204"/>
        <n v="-0.814837628610356"/>
        <n v="-0.261080548682346"/>
        <n v="0.912902935234778"/>
        <n v="0.431019922064449"/>
        <n v="0.449277941842352"/>
        <n v="0.0662725404080046"/>
        <n v="0.597149529462239"/>
        <n v="0.559256676933176"/>
        <n v="-1.0501700007907"/>
        <n v="-0.480221554501684"/>
        <n v="-0.0552755633273715"/>
        <n v="0.74327998854835"/>
        <n v="0.797557257553674"/>
        <n v="-0.361503505849937"/>
        <n v="0.783768074666429"/>
        <n v="0.281235744038129"/>
        <n v="0.599753110549895"/>
        <n v="0.47234982377817"/>
        <n v="0.345671680972841"/>
        <n v="0.947356525489116"/>
        <n v="0.866716315590659"/>
        <n v="-0.333273471077399"/>
        <n v="0.397240784446032"/>
        <n v="-0.438249301754896"/>
        <n v="0.706267968428055"/>
        <n v="0.456921539584559"/>
        <n v="-0.519668839129306"/>
        <n v="0.926088771311126"/>
        <n v="-2.06671692548853"/>
        <n v="-0.0418392773044484"/>
        <n v="0.261275398335137"/>
        <n v="0.735664730435276"/>
        <n v="0.575853616835213"/>
        <n v="0.403314202442489"/>
        <n v="0.790099400879222"/>
        <n v="-2.74878876139834"/>
        <n v="-0.0374858692044664"/>
        <n v="0.0216698994592251"/>
        <n v="-0.321720812470603"/>
        <n v="-0.360869677590867"/>
        <n v="-1.06933644675698"/>
        <n v="0.00391069593553948"/>
        <n v="0.801945294153569"/>
        <n v="0.717086253366706"/>
        <n v="0.591453751292224"/>
        <n v="0.190742028149061"/>
        <n v="0.824402762585745"/>
        <n v="-0.0662553459069331"/>
        <n v="0.607916058465463"/>
        <n v="0.909391334197417"/>
        <n v="-0.321368308683001"/>
        <n v="0.538601360054822"/>
        <n v="0.636370648851245"/>
        <n v="0.912598997411731"/>
        <n v="-0.394390780126541"/>
        <n v="-2.0852996565858"/>
        <n v="0.460542359616513"/>
        <n v="-0.228942544165674"/>
        <n v="0.789780191097247"/>
        <n v="0.233223621155167"/>
        <n v="0.757558228905841"/>
        <n v="0.494718756327565"/>
        <n v="0.348134273306349"/>
        <n v="-0.105432941324094"/>
        <n v="0.804011517983938"/>
        <n v="0.545830720099195"/>
        <n v="-0.329625551504871"/>
        <n v="0.887401331218255"/>
        <n v="0.704949538717074"/>
        <n v="0.624710856354944"/>
        <n v="-1.18930313075104"/>
        <n v="-0.494797963697025"/>
        <n v="0.641085658696558"/>
        <n v="-2.17849309496748"/>
        <n v="0.0826449363926135"/>
        <n v="-0.266540149741063"/>
        <n v="0.737385195150085"/>
        <n v="-1.83917389801813"/>
        <n v="0.483582908577983"/>
        <n v="-2.79264595490194"/>
        <n v="-0.560298808181079"/>
        <n v="0.769889684175011"/>
        <n v="-2.07756332020585"/>
        <n v="0.844348437812733"/>
        <n v="0.796865497433591"/>
        <n v="-0.281264481292688"/>
        <n v="0.678520594696532"/>
        <n v="0.42487306761776"/>
        <n v="0.791580295043124"/>
        <n v="0.649990024708031"/>
        <n v="0.733525792062926"/>
        <n v="0.282994058201784"/>
        <n v="0.823309386571734"/>
        <n v="0.269508398242424"/>
        <n v="0.205823479394046"/>
        <n v="0.482562391741627"/>
        <n v="-0.694109981443559"/>
        <n v="0.568733745609317"/>
        <n v="0.324340117958353"/>
        <n v="0.732792540021843"/>
        <n v="0.471484125774422"/>
        <n v="0.64865815525761"/>
        <n v="0.115950103791246"/>
        <n v="-0.717005102851053"/>
        <n v="0.763411185406437"/>
        <n v="0.583473518889676"/>
        <n v="0.636669262911733"/>
        <n v="0.429958622479161"/>
        <n v="-1.6683175792758"/>
        <n v="0.487852921864741"/>
        <n v="0.676644638253852"/>
        <n v="-2.28805582893442"/>
        <n v="-0.312839328021779"/>
        <n v="0.649750400259044"/>
        <n v="-0.289806068902578"/>
        <n v="0.618680567124657"/>
        <n v="-0.0866776165816606"/>
        <n v="0.250926707888681"/>
        <n v="-0.653267096259147"/>
        <n v="0.303904075224963"/>
        <n v="0.386176763658"/>
        <n v="-5.63590216168937"/>
        <n v="0.512704231464008"/>
        <n v="-0.0387242673860971"/>
        <n v="0.556361438694329"/>
        <n v="-0.355774852867958"/>
        <n v="0.641660290448054"/>
        <n v="0.833843468005321"/>
        <n v="0.53036241389434"/>
        <n v="0.69204706980695"/>
        <n v="-1.43365012319606"/>
        <n v="0.090541124965535"/>
        <n v="-0.622770456786881"/>
        <n v="-0.826510319404361"/>
        <n v="0.831246175693821"/>
        <n v="0.515019452954287"/>
        <n v="-0.589289015957292"/>
        <n v="-0.709235253576587"/>
        <n v="0.752687602831599"/>
        <n v="-0.44774208724052"/>
        <n v="0.643346955553835"/>
        <n v="0.927413772954365"/>
        <n v="-1.0864579923279"/>
        <n v="-1.74650133044352"/>
        <n v="-0.323347384608182"/>
        <n v="0.65771423460881"/>
        <n v="0.596193066676469"/>
        <n v="-0.474005491034649"/>
        <n v="0.816160585844106"/>
        <n v="0.179472411231164"/>
        <n v="0.798377676400418"/>
        <n v="-0.264502127578919"/>
        <n v="-2.16682752573255"/>
        <n v="0.334559176551223"/>
        <n v="-0.644272979919759"/>
        <n v="-1.67608109097669"/>
        <n v="0.876375350596621"/>
        <n v="0.438893083062911"/>
        <n v="0.10246716980095"/>
        <n v="0.645623713454971"/>
        <n v="0.737361804684209"/>
        <n v="0.0149212963120052"/>
        <n v="0.724414722382506"/>
        <n v="0.634517400100188"/>
        <n v="0.439165060641969"/>
        <n v="-0.853280446328346"/>
        <n v="-1.25347944347876"/>
        <n v="-0.0594941621205099"/>
        <n v="0.426195623946903"/>
        <n v="-2.52757574826513"/>
        <n v="0.0972595780288089"/>
        <n v="-0.465978263474489"/>
        <n v="-0.122559646967986"/>
        <n v="0.310505501247047"/>
        <n v="-0.973368836613313"/>
        <n v="-0.184956701662963"/>
        <n v="-2.45347573031549"/>
        <n v="0.681365566206636"/>
        <n v="0.269294952023363"/>
        <n v="0.857626927025586"/>
        <n v="0.099559773935447"/>
        <n v="0.616695280037819"/>
        <n v="0.41485329639102"/>
        <n v="0.216923127768672"/>
        <n v="0.388281918102332"/>
        <n v="0.846880342533314"/>
        <n v="0.581627477839539"/>
        <n v="0.641930310885731"/>
        <n v="0.539503146782624"/>
        <n v="-0.290814897219256"/>
        <n v="0.814919633277029"/>
        <n v="0.370777251840667"/>
        <n v="-0.874430842765485"/>
        <n v="0.392730062448507"/>
        <n v="-0.841020321457539"/>
        <n v="0.287835765014091"/>
        <n v="0.467787812985815"/>
        <n v="0.57825194367488"/>
        <n v="-0.452359929064858"/>
        <n v="0.394135314701156"/>
        <n v="0.397272337863461"/>
        <n v="-0.215736662430808"/>
        <n v="-0.251822672593253"/>
        <n v="0.838772919963522"/>
        <n v="0.793427942844702"/>
        <n v="0.28680102465014"/>
        <n v="-0.714075411311127"/>
        <n v="0.692500428982707"/>
        <n v="0.424770804278416"/>
        <n v="0.889060594860845"/>
        <n v="-0.122617965838305"/>
        <n v="-0.0230498062200928"/>
        <n v="-0.563566841718798"/>
        <n v="0.332588794058479"/>
        <n v="-0.490639133529983"/>
        <n v="-2.32720540385767"/>
        <n v="0.655936707799741"/>
        <n v="0.564756626136746"/>
        <n v="0.11338475926718"/>
        <n v="0.0911856679558725"/>
        <n v="0.339189786369395"/>
        <n v="0.529247682596782"/>
        <n v="0.672828777190089"/>
        <n v="-0.0865490486462123"/>
        <n v="0.85230680993486"/>
        <n v="0.42700835154351"/>
        <n v="-0.548644854767304"/>
        <n v="0.682449058062262"/>
        <n v="-1.08712387167817"/>
        <n v="0.376140465276166"/>
        <n v="0.323448992312487"/>
        <n v="0.6183945955782"/>
        <n v="-0.387234266075355"/>
        <n v="0.831806909255564"/>
        <n v="0.701487531518054"/>
        <n v="-0.518984125926404"/>
        <n v="0.877573578984334"/>
        <n v="0.553638985709566"/>
        <n v="0.617952803373774"/>
        <n v="-3.09052864686843"/>
        <n v="0.42286658914904"/>
        <n v="0.264060233799014"/>
        <n v="0.642440930567248"/>
        <n v="-1.25377311314218"/>
        <n v="0.366733829235893"/>
        <n v="0.426891613036041"/>
        <n v="-0.422637046063122"/>
        <n v="0.31939698817402"/>
        <n v="0.184226004254787"/>
        <n v="0.423473413021036"/>
        <n v="0.515267900335921"/>
        <n v="0.317936505954041"/>
        <n v="0.481698273138339"/>
        <n v="0.707358627436626"/>
        <n v="0.842393215976429"/>
        <n v="-2.64329511363169"/>
        <n v="-3.29701792712691"/>
        <n v="0.702442296198448"/>
        <n v="-1.8089311765486"/>
        <n v="-0.0710105180095653"/>
        <n v="0.766692844432246"/>
        <n v="0.0155207726347005"/>
        <n v="0.0541850569417406"/>
        <n v="0.631944090154131"/>
        <n v="0.616380436316861"/>
        <n v="0.802263033153637"/>
        <n v="0.900092249609589"/>
        <n v="-0.183514864107613"/>
        <n v="0.152224814312915"/>
        <n v="-1.56146130182053"/>
        <n v="-0.603035974215014"/>
        <n v="0.540610719144204"/>
        <n v="-0.804765689065068"/>
        <n v="-0.270540935672515"/>
        <n v="0.54423535519037"/>
        <n v="0.246001783467093"/>
        <n v="0.341360723929844"/>
        <n v="-0.625096986384142"/>
        <n v="0.030175080988607"/>
        <n v="0.545705655942952"/>
        <n v="0.737678044698862"/>
        <n v="0.467908363853989"/>
        <n v="0.225662378803878"/>
        <n v="-0.0119804749912279"/>
        <n v="0.379257814479901"/>
        <n v="0.585959292655607"/>
        <n v="0.723676867393115"/>
        <n v="-0.0236265931020709"/>
        <n v="0.755947472262284"/>
        <n v="-0.729308867047467"/>
        <n v="0.58941017925025"/>
        <n v="0.255218094102297"/>
        <n v="0.529070449304394"/>
        <n v="0.847347231466921"/>
        <n v="0.490132006814483"/>
        <n v="0.490721552659165"/>
        <n v="0.0734899343748752"/>
        <n v="0.698177945483229"/>
        <n v="-0.298457069126703"/>
        <n v="0.449768629328227"/>
        <n v="-0.288292796254267"/>
        <n v="0.766687732653692"/>
        <n v="-0.198196493375421"/>
        <n v="0.610182266439396"/>
        <n v="-0.816425508841338"/>
        <n v="0.75851372575799"/>
        <n v="0.587338746355377"/>
        <n v="-1.50756583985021"/>
        <n v="-0.0609202726447702"/>
        <n v="0.188160128525765"/>
        <n v="0.119089767088493"/>
        <n v="-0.120692595171444"/>
        <n v="0.540074616144775"/>
        <n v="0.232513068642509"/>
        <n v="0.312883073389079"/>
        <n v="0.752097655441466"/>
        <n v="0.510696919851564"/>
        <n v="-2.65078622555374"/>
        <n v="0.52924939861466"/>
        <n v="0.0304777594728172"/>
        <n v="0.23566721764536"/>
        <n v="0.177268022161318"/>
        <n v="-0.534213427349581"/>
        <n v="-0.267380846724701"/>
        <n v="-0.22392074108516"/>
        <n v="0.253858197493926"/>
        <n v="0.602076185469086"/>
        <n v="0.528018264970142"/>
        <n v="-1.17427989791652"/>
        <n v="-0.0353876295566902"/>
        <n v="0.37843912805819"/>
        <n v="0.782987247952807"/>
        <n v="0.570457840561274"/>
        <n v="0.0612664433288469"/>
        <n v="0.0268001842955688"/>
        <n v="-0.00626613267451711"/>
        <n v="0.510628464252662"/>
        <n v="-1.07694912570805"/>
        <n v="0.579694990675392"/>
        <n v="-0.183185101913496"/>
        <n v="-0.841124291973923"/>
        <n v="0.283597432907834"/>
        <n v="0.278239063226562"/>
        <n v="0.759922930182725"/>
        <n v="-0.247435270135281"/>
        <n v="0.00406150705942737"/>
        <n v="-2.37774287141649"/>
        <n v="-3.35074666151929"/>
        <n v="0.685963204526554"/>
        <n v="0.451387571872551"/>
        <n v="-0.053371393773312"/>
        <n v="0.405194594638413"/>
        <n v="-2.35377267548856"/>
        <n v="0.643430610729598"/>
        <n v="0.746630239566074"/>
        <n v="0.0773699501190603"/>
        <n v="-0.208596749424111"/>
        <n v="0.17038566542191"/>
        <n v="0.887757850979642"/>
        <n v="0.864746353360932"/>
        <n v="-1.28450058797144"/>
        <n v="0.329773360913751"/>
        <n v="-0.494647155419167"/>
        <n v="0.767946874666934"/>
        <n v="0.65445869151859"/>
        <n v="0.692721380256581"/>
        <n v="0.56101411312411"/>
        <n v="0.78514537689683"/>
        <n v="0.598124040884098"/>
        <n v="0.566806072477501"/>
        <n v="0.792045001876129"/>
        <n v="0.221835595175575"/>
        <n v="0.647149857272398"/>
        <n v="0.671690695238727"/>
        <n v="0.868072140806422"/>
        <n v="0.348766908682579"/>
        <n v="0.393509845110461"/>
        <n v="0.783920009890529"/>
        <n v="0.822340158087682"/>
        <n v="0.0950868877583497"/>
        <n v="-3.18729147630858"/>
        <n v="0.32927473673497"/>
        <n v="-0.534614174537122"/>
        <n v="0.719901983588296"/>
        <n v="0.742358669191236"/>
        <n v="0.210096381498345"/>
        <n v="-0.202242256954402"/>
        <n v="0.639853833580702"/>
        <n v="0.700771334391204"/>
        <n v="0.251839522980403"/>
        <n v="0.545340477374913"/>
        <n v="0.736494337508532"/>
        <n v="0.87663532056268"/>
        <n v="0.82531262315405"/>
        <n v="0.639815134840843"/>
        <n v="-0.574609548525871"/>
        <n v="-0.0848395530488224"/>
        <n v="0.701873377197472"/>
        <n v="0.720991676141217"/>
        <n v="0.856544200151916"/>
        <n v="-0.32380316661154"/>
        <n v="-0.420492051267947"/>
        <n v="-3.07613686147376"/>
        <n v="-0.265412367946651"/>
        <n v="-2.43853213621351"/>
        <n v="0.69441751705112"/>
        <n v="-0.902564025659002"/>
        <n v="0.786293148293845"/>
        <n v="0.553832173812931"/>
        <n v="0.876660286779564"/>
        <n v="0.824952196269805"/>
        <n v="0.83492116560921"/>
        <n v="0.449777520110153"/>
        <n v="0.0464181541248967"/>
        <n v="0.385526362227953"/>
        <n v="0.294281524458232"/>
        <n v="-1.18441912701378"/>
        <n v="0.389768303735071"/>
        <n v="0.754884066358434"/>
        <n v="0.834057105172378"/>
        <n v="0.780285651457441"/>
        <n v="0.622631731575863"/>
        <n v="-1.02125606994885"/>
        <n v="-2.45950970140583"/>
        <n v="0.730573386008517"/>
        <n v="0.151941252016992"/>
        <n v="0.713242723556278"/>
        <n v="0.405832414024654"/>
        <n v="0.837728259329616"/>
        <n v="0.757903673401313"/>
        <n v="-0.127834347572855"/>
        <n v="0.852149617141567"/>
        <n v="0.545378051595035"/>
        <n v="0.595364193449539"/>
        <n v="-1.47890932083515"/>
        <n v="0.372230992019201"/>
        <n v="-1.56049621862386"/>
        <n v="0.843693186409437"/>
        <n v="-1.0305459838473"/>
        <n v="0.274784298418141"/>
        <n v="0.72942585118524"/>
        <n v="0.141124993524099"/>
        <n v="0.938677004285741"/>
        <n v="0.607172148114577"/>
        <n v="-0.233531212682625"/>
        <n v="0.214667875408736"/>
        <n v="0.0553425678613578"/>
        <n v="0.410017591351309"/>
        <n v="-0.41020438728745"/>
        <n v="-0.64780093869098"/>
        <n v="0.424372037386617"/>
        <n v="0.485567135445722"/>
        <n v="-0.961524611433262"/>
        <n v="0.880875569386889"/>
        <n v="0.593383861524468"/>
        <n v="-0.151235035818429"/>
        <n v="0.790504680767259"/>
        <n v="0.89063296946065"/>
        <n v="0.82812735200554"/>
        <n v="0.109068340877583"/>
        <n v="0.8570538045762"/>
        <n v="0.843042413227514"/>
        <n v="-2.14093438386785"/>
        <n v="0.595886655010338"/>
        <n v="0.280679125497385"/>
        <n v="0.541072665057714"/>
        <n v="-0.710030141256821"/>
        <n v="-0.740104750311053"/>
        <n v="0.0772201851584718"/>
        <n v="0.691810223442501"/>
        <n v="-0.0139518095279698"/>
        <n v="0.469215071287157"/>
        <n v="0.797691837977206"/>
        <n v="0.68722859591298"/>
        <n v="0.339652407653293"/>
        <n v="0.569970261686077"/>
        <n v="0.488072604166067"/>
        <n v="0.696553091297347"/>
        <n v="-0.501090007839964"/>
        <n v="0.467455227620127"/>
        <n v="-0.0802133959991216"/>
        <n v="0.589713018473112"/>
        <n v="0.428773382286629"/>
        <n v="-0.46360283295989"/>
        <n v="0.697879236802812"/>
        <n v="0.577087131148756"/>
      </sharedItems>
    </cacheField>
    <cacheField name="Year-Month" numFmtId="0">
      <sharedItems count="7">
        <s v="2025-05"/>
        <s v="2025-01"/>
        <s v="2025-04"/>
        <s v="2025-03"/>
        <s v="2025-02"/>
        <s v="2024-12"/>
        <s v="2025-0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1"/>
    <x v="2"/>
    <x v="2"/>
    <x v="2"/>
    <x v="2"/>
    <x v="2"/>
    <x v="2"/>
    <x v="2"/>
    <x v="2"/>
    <x v="2"/>
    <x v="2"/>
    <x v="2"/>
    <x v="2"/>
    <x v="2"/>
    <x v="2"/>
  </r>
  <r>
    <x v="3"/>
    <x v="3"/>
    <x v="2"/>
    <x v="3"/>
    <x v="3"/>
    <x v="3"/>
    <x v="3"/>
    <x v="3"/>
    <x v="3"/>
    <x v="3"/>
    <x v="3"/>
    <x v="3"/>
    <x v="3"/>
    <x v="3"/>
    <x v="3"/>
    <x v="3"/>
    <x v="0"/>
  </r>
  <r>
    <x v="4"/>
    <x v="4"/>
    <x v="3"/>
    <x v="0"/>
    <x v="4"/>
    <x v="4"/>
    <x v="4"/>
    <x v="4"/>
    <x v="4"/>
    <x v="4"/>
    <x v="4"/>
    <x v="4"/>
    <x v="4"/>
    <x v="4"/>
    <x v="4"/>
    <x v="4"/>
    <x v="0"/>
  </r>
  <r>
    <x v="5"/>
    <x v="5"/>
    <x v="4"/>
    <x v="1"/>
    <x v="5"/>
    <x v="5"/>
    <x v="5"/>
    <x v="5"/>
    <x v="5"/>
    <x v="5"/>
    <x v="5"/>
    <x v="5"/>
    <x v="5"/>
    <x v="5"/>
    <x v="5"/>
    <x v="5"/>
    <x v="2"/>
  </r>
  <r>
    <x v="6"/>
    <x v="6"/>
    <x v="2"/>
    <x v="2"/>
    <x v="6"/>
    <x v="6"/>
    <x v="6"/>
    <x v="6"/>
    <x v="6"/>
    <x v="6"/>
    <x v="6"/>
    <x v="6"/>
    <x v="6"/>
    <x v="6"/>
    <x v="6"/>
    <x v="6"/>
    <x v="3"/>
  </r>
  <r>
    <x v="7"/>
    <x v="7"/>
    <x v="1"/>
    <x v="1"/>
    <x v="7"/>
    <x v="7"/>
    <x v="7"/>
    <x v="7"/>
    <x v="7"/>
    <x v="7"/>
    <x v="7"/>
    <x v="7"/>
    <x v="7"/>
    <x v="7"/>
    <x v="7"/>
    <x v="7"/>
    <x v="2"/>
  </r>
  <r>
    <x v="8"/>
    <x v="8"/>
    <x v="2"/>
    <x v="3"/>
    <x v="8"/>
    <x v="8"/>
    <x v="8"/>
    <x v="8"/>
    <x v="8"/>
    <x v="8"/>
    <x v="8"/>
    <x v="8"/>
    <x v="8"/>
    <x v="8"/>
    <x v="8"/>
    <x v="8"/>
    <x v="4"/>
  </r>
  <r>
    <x v="9"/>
    <x v="2"/>
    <x v="2"/>
    <x v="1"/>
    <x v="9"/>
    <x v="9"/>
    <x v="9"/>
    <x v="9"/>
    <x v="9"/>
    <x v="9"/>
    <x v="9"/>
    <x v="9"/>
    <x v="9"/>
    <x v="9"/>
    <x v="9"/>
    <x v="9"/>
    <x v="2"/>
  </r>
  <r>
    <x v="10"/>
    <x v="9"/>
    <x v="2"/>
    <x v="2"/>
    <x v="10"/>
    <x v="10"/>
    <x v="10"/>
    <x v="10"/>
    <x v="10"/>
    <x v="10"/>
    <x v="10"/>
    <x v="10"/>
    <x v="10"/>
    <x v="10"/>
    <x v="10"/>
    <x v="10"/>
    <x v="3"/>
  </r>
  <r>
    <x v="11"/>
    <x v="10"/>
    <x v="4"/>
    <x v="1"/>
    <x v="11"/>
    <x v="11"/>
    <x v="11"/>
    <x v="11"/>
    <x v="11"/>
    <x v="11"/>
    <x v="11"/>
    <x v="11"/>
    <x v="11"/>
    <x v="11"/>
    <x v="11"/>
    <x v="11"/>
    <x v="2"/>
  </r>
  <r>
    <x v="12"/>
    <x v="11"/>
    <x v="3"/>
    <x v="3"/>
    <x v="12"/>
    <x v="12"/>
    <x v="12"/>
    <x v="12"/>
    <x v="12"/>
    <x v="12"/>
    <x v="12"/>
    <x v="12"/>
    <x v="12"/>
    <x v="12"/>
    <x v="12"/>
    <x v="12"/>
    <x v="0"/>
  </r>
  <r>
    <x v="13"/>
    <x v="12"/>
    <x v="3"/>
    <x v="0"/>
    <x v="13"/>
    <x v="13"/>
    <x v="13"/>
    <x v="13"/>
    <x v="13"/>
    <x v="13"/>
    <x v="13"/>
    <x v="13"/>
    <x v="13"/>
    <x v="13"/>
    <x v="13"/>
    <x v="13"/>
    <x v="1"/>
  </r>
  <r>
    <x v="14"/>
    <x v="13"/>
    <x v="0"/>
    <x v="0"/>
    <x v="14"/>
    <x v="14"/>
    <x v="14"/>
    <x v="14"/>
    <x v="14"/>
    <x v="14"/>
    <x v="14"/>
    <x v="14"/>
    <x v="14"/>
    <x v="14"/>
    <x v="14"/>
    <x v="14"/>
    <x v="5"/>
  </r>
  <r>
    <x v="15"/>
    <x v="14"/>
    <x v="0"/>
    <x v="3"/>
    <x v="15"/>
    <x v="15"/>
    <x v="15"/>
    <x v="15"/>
    <x v="15"/>
    <x v="15"/>
    <x v="15"/>
    <x v="15"/>
    <x v="15"/>
    <x v="15"/>
    <x v="15"/>
    <x v="15"/>
    <x v="4"/>
  </r>
  <r>
    <x v="16"/>
    <x v="15"/>
    <x v="1"/>
    <x v="3"/>
    <x v="16"/>
    <x v="16"/>
    <x v="16"/>
    <x v="16"/>
    <x v="16"/>
    <x v="16"/>
    <x v="16"/>
    <x v="16"/>
    <x v="16"/>
    <x v="16"/>
    <x v="16"/>
    <x v="16"/>
    <x v="3"/>
  </r>
  <r>
    <x v="17"/>
    <x v="4"/>
    <x v="4"/>
    <x v="3"/>
    <x v="17"/>
    <x v="17"/>
    <x v="17"/>
    <x v="17"/>
    <x v="17"/>
    <x v="17"/>
    <x v="17"/>
    <x v="17"/>
    <x v="17"/>
    <x v="17"/>
    <x v="17"/>
    <x v="17"/>
    <x v="0"/>
  </r>
  <r>
    <x v="18"/>
    <x v="16"/>
    <x v="0"/>
    <x v="1"/>
    <x v="18"/>
    <x v="18"/>
    <x v="18"/>
    <x v="18"/>
    <x v="18"/>
    <x v="18"/>
    <x v="18"/>
    <x v="18"/>
    <x v="18"/>
    <x v="18"/>
    <x v="18"/>
    <x v="18"/>
    <x v="0"/>
  </r>
  <r>
    <x v="19"/>
    <x v="17"/>
    <x v="0"/>
    <x v="2"/>
    <x v="19"/>
    <x v="19"/>
    <x v="19"/>
    <x v="19"/>
    <x v="19"/>
    <x v="19"/>
    <x v="19"/>
    <x v="19"/>
    <x v="19"/>
    <x v="19"/>
    <x v="19"/>
    <x v="19"/>
    <x v="1"/>
  </r>
  <r>
    <x v="20"/>
    <x v="18"/>
    <x v="0"/>
    <x v="0"/>
    <x v="20"/>
    <x v="20"/>
    <x v="20"/>
    <x v="20"/>
    <x v="20"/>
    <x v="20"/>
    <x v="20"/>
    <x v="20"/>
    <x v="20"/>
    <x v="20"/>
    <x v="20"/>
    <x v="20"/>
    <x v="6"/>
  </r>
  <r>
    <x v="21"/>
    <x v="19"/>
    <x v="4"/>
    <x v="3"/>
    <x v="21"/>
    <x v="21"/>
    <x v="21"/>
    <x v="21"/>
    <x v="21"/>
    <x v="21"/>
    <x v="21"/>
    <x v="21"/>
    <x v="21"/>
    <x v="21"/>
    <x v="21"/>
    <x v="21"/>
    <x v="0"/>
  </r>
  <r>
    <x v="22"/>
    <x v="20"/>
    <x v="1"/>
    <x v="3"/>
    <x v="22"/>
    <x v="22"/>
    <x v="22"/>
    <x v="22"/>
    <x v="22"/>
    <x v="22"/>
    <x v="22"/>
    <x v="22"/>
    <x v="22"/>
    <x v="22"/>
    <x v="22"/>
    <x v="22"/>
    <x v="6"/>
  </r>
  <r>
    <x v="23"/>
    <x v="21"/>
    <x v="4"/>
    <x v="1"/>
    <x v="23"/>
    <x v="23"/>
    <x v="23"/>
    <x v="23"/>
    <x v="23"/>
    <x v="23"/>
    <x v="23"/>
    <x v="23"/>
    <x v="23"/>
    <x v="23"/>
    <x v="23"/>
    <x v="23"/>
    <x v="2"/>
  </r>
  <r>
    <x v="24"/>
    <x v="22"/>
    <x v="2"/>
    <x v="0"/>
    <x v="24"/>
    <x v="24"/>
    <x v="24"/>
    <x v="24"/>
    <x v="24"/>
    <x v="24"/>
    <x v="24"/>
    <x v="24"/>
    <x v="24"/>
    <x v="24"/>
    <x v="24"/>
    <x v="24"/>
    <x v="4"/>
  </r>
  <r>
    <x v="25"/>
    <x v="23"/>
    <x v="1"/>
    <x v="3"/>
    <x v="25"/>
    <x v="25"/>
    <x v="25"/>
    <x v="25"/>
    <x v="25"/>
    <x v="25"/>
    <x v="25"/>
    <x v="25"/>
    <x v="25"/>
    <x v="25"/>
    <x v="25"/>
    <x v="25"/>
    <x v="2"/>
  </r>
  <r>
    <x v="26"/>
    <x v="24"/>
    <x v="3"/>
    <x v="3"/>
    <x v="26"/>
    <x v="26"/>
    <x v="26"/>
    <x v="26"/>
    <x v="26"/>
    <x v="26"/>
    <x v="26"/>
    <x v="26"/>
    <x v="26"/>
    <x v="26"/>
    <x v="26"/>
    <x v="26"/>
    <x v="3"/>
  </r>
  <r>
    <x v="27"/>
    <x v="25"/>
    <x v="1"/>
    <x v="0"/>
    <x v="27"/>
    <x v="27"/>
    <x v="27"/>
    <x v="0"/>
    <x v="27"/>
    <x v="27"/>
    <x v="27"/>
    <x v="27"/>
    <x v="27"/>
    <x v="27"/>
    <x v="27"/>
    <x v="27"/>
    <x v="6"/>
  </r>
  <r>
    <x v="28"/>
    <x v="25"/>
    <x v="3"/>
    <x v="3"/>
    <x v="28"/>
    <x v="28"/>
    <x v="28"/>
    <x v="27"/>
    <x v="28"/>
    <x v="28"/>
    <x v="28"/>
    <x v="28"/>
    <x v="28"/>
    <x v="28"/>
    <x v="28"/>
    <x v="28"/>
    <x v="6"/>
  </r>
  <r>
    <x v="29"/>
    <x v="26"/>
    <x v="0"/>
    <x v="1"/>
    <x v="29"/>
    <x v="29"/>
    <x v="29"/>
    <x v="28"/>
    <x v="29"/>
    <x v="29"/>
    <x v="29"/>
    <x v="29"/>
    <x v="29"/>
    <x v="29"/>
    <x v="29"/>
    <x v="29"/>
    <x v="1"/>
  </r>
  <r>
    <x v="30"/>
    <x v="27"/>
    <x v="0"/>
    <x v="2"/>
    <x v="30"/>
    <x v="30"/>
    <x v="30"/>
    <x v="29"/>
    <x v="30"/>
    <x v="30"/>
    <x v="30"/>
    <x v="30"/>
    <x v="30"/>
    <x v="30"/>
    <x v="30"/>
    <x v="30"/>
    <x v="2"/>
  </r>
  <r>
    <x v="31"/>
    <x v="28"/>
    <x v="3"/>
    <x v="1"/>
    <x v="31"/>
    <x v="31"/>
    <x v="31"/>
    <x v="30"/>
    <x v="31"/>
    <x v="31"/>
    <x v="31"/>
    <x v="31"/>
    <x v="31"/>
    <x v="31"/>
    <x v="31"/>
    <x v="31"/>
    <x v="0"/>
  </r>
  <r>
    <x v="32"/>
    <x v="29"/>
    <x v="4"/>
    <x v="0"/>
    <x v="32"/>
    <x v="32"/>
    <x v="32"/>
    <x v="31"/>
    <x v="32"/>
    <x v="32"/>
    <x v="32"/>
    <x v="32"/>
    <x v="32"/>
    <x v="32"/>
    <x v="32"/>
    <x v="32"/>
    <x v="4"/>
  </r>
  <r>
    <x v="33"/>
    <x v="8"/>
    <x v="3"/>
    <x v="1"/>
    <x v="33"/>
    <x v="33"/>
    <x v="33"/>
    <x v="32"/>
    <x v="33"/>
    <x v="33"/>
    <x v="33"/>
    <x v="33"/>
    <x v="33"/>
    <x v="33"/>
    <x v="33"/>
    <x v="33"/>
    <x v="4"/>
  </r>
  <r>
    <x v="34"/>
    <x v="30"/>
    <x v="2"/>
    <x v="2"/>
    <x v="34"/>
    <x v="34"/>
    <x v="34"/>
    <x v="33"/>
    <x v="34"/>
    <x v="34"/>
    <x v="34"/>
    <x v="34"/>
    <x v="34"/>
    <x v="34"/>
    <x v="34"/>
    <x v="34"/>
    <x v="5"/>
  </r>
  <r>
    <x v="35"/>
    <x v="31"/>
    <x v="4"/>
    <x v="0"/>
    <x v="35"/>
    <x v="35"/>
    <x v="35"/>
    <x v="34"/>
    <x v="35"/>
    <x v="35"/>
    <x v="35"/>
    <x v="35"/>
    <x v="35"/>
    <x v="35"/>
    <x v="35"/>
    <x v="35"/>
    <x v="2"/>
  </r>
  <r>
    <x v="36"/>
    <x v="32"/>
    <x v="1"/>
    <x v="2"/>
    <x v="36"/>
    <x v="36"/>
    <x v="36"/>
    <x v="35"/>
    <x v="36"/>
    <x v="36"/>
    <x v="36"/>
    <x v="36"/>
    <x v="36"/>
    <x v="36"/>
    <x v="36"/>
    <x v="36"/>
    <x v="4"/>
  </r>
  <r>
    <x v="37"/>
    <x v="33"/>
    <x v="2"/>
    <x v="3"/>
    <x v="37"/>
    <x v="37"/>
    <x v="37"/>
    <x v="36"/>
    <x v="37"/>
    <x v="37"/>
    <x v="37"/>
    <x v="37"/>
    <x v="37"/>
    <x v="37"/>
    <x v="37"/>
    <x v="37"/>
    <x v="2"/>
  </r>
  <r>
    <x v="38"/>
    <x v="34"/>
    <x v="1"/>
    <x v="2"/>
    <x v="38"/>
    <x v="38"/>
    <x v="38"/>
    <x v="37"/>
    <x v="38"/>
    <x v="38"/>
    <x v="38"/>
    <x v="38"/>
    <x v="38"/>
    <x v="38"/>
    <x v="38"/>
    <x v="38"/>
    <x v="3"/>
  </r>
  <r>
    <x v="39"/>
    <x v="35"/>
    <x v="2"/>
    <x v="2"/>
    <x v="39"/>
    <x v="39"/>
    <x v="39"/>
    <x v="38"/>
    <x v="39"/>
    <x v="39"/>
    <x v="39"/>
    <x v="39"/>
    <x v="39"/>
    <x v="39"/>
    <x v="39"/>
    <x v="39"/>
    <x v="2"/>
  </r>
  <r>
    <x v="40"/>
    <x v="32"/>
    <x v="4"/>
    <x v="3"/>
    <x v="40"/>
    <x v="40"/>
    <x v="40"/>
    <x v="39"/>
    <x v="40"/>
    <x v="40"/>
    <x v="40"/>
    <x v="40"/>
    <x v="40"/>
    <x v="40"/>
    <x v="40"/>
    <x v="40"/>
    <x v="4"/>
  </r>
  <r>
    <x v="41"/>
    <x v="36"/>
    <x v="2"/>
    <x v="2"/>
    <x v="41"/>
    <x v="41"/>
    <x v="41"/>
    <x v="40"/>
    <x v="41"/>
    <x v="41"/>
    <x v="41"/>
    <x v="41"/>
    <x v="41"/>
    <x v="41"/>
    <x v="41"/>
    <x v="41"/>
    <x v="1"/>
  </r>
  <r>
    <x v="42"/>
    <x v="37"/>
    <x v="2"/>
    <x v="0"/>
    <x v="42"/>
    <x v="42"/>
    <x v="42"/>
    <x v="41"/>
    <x v="42"/>
    <x v="42"/>
    <x v="42"/>
    <x v="42"/>
    <x v="42"/>
    <x v="42"/>
    <x v="42"/>
    <x v="42"/>
    <x v="5"/>
  </r>
  <r>
    <x v="43"/>
    <x v="38"/>
    <x v="3"/>
    <x v="0"/>
    <x v="43"/>
    <x v="43"/>
    <x v="43"/>
    <x v="42"/>
    <x v="36"/>
    <x v="43"/>
    <x v="43"/>
    <x v="43"/>
    <x v="43"/>
    <x v="43"/>
    <x v="43"/>
    <x v="43"/>
    <x v="2"/>
  </r>
  <r>
    <x v="44"/>
    <x v="39"/>
    <x v="2"/>
    <x v="1"/>
    <x v="44"/>
    <x v="44"/>
    <x v="44"/>
    <x v="43"/>
    <x v="43"/>
    <x v="44"/>
    <x v="44"/>
    <x v="44"/>
    <x v="44"/>
    <x v="44"/>
    <x v="44"/>
    <x v="44"/>
    <x v="0"/>
  </r>
  <r>
    <x v="45"/>
    <x v="40"/>
    <x v="2"/>
    <x v="1"/>
    <x v="45"/>
    <x v="45"/>
    <x v="45"/>
    <x v="44"/>
    <x v="44"/>
    <x v="45"/>
    <x v="45"/>
    <x v="45"/>
    <x v="45"/>
    <x v="45"/>
    <x v="45"/>
    <x v="45"/>
    <x v="0"/>
  </r>
  <r>
    <x v="46"/>
    <x v="41"/>
    <x v="0"/>
    <x v="3"/>
    <x v="46"/>
    <x v="46"/>
    <x v="46"/>
    <x v="45"/>
    <x v="45"/>
    <x v="46"/>
    <x v="46"/>
    <x v="46"/>
    <x v="46"/>
    <x v="46"/>
    <x v="46"/>
    <x v="46"/>
    <x v="1"/>
  </r>
  <r>
    <x v="47"/>
    <x v="42"/>
    <x v="2"/>
    <x v="2"/>
    <x v="47"/>
    <x v="47"/>
    <x v="47"/>
    <x v="46"/>
    <x v="46"/>
    <x v="47"/>
    <x v="47"/>
    <x v="47"/>
    <x v="47"/>
    <x v="47"/>
    <x v="47"/>
    <x v="47"/>
    <x v="3"/>
  </r>
  <r>
    <x v="48"/>
    <x v="43"/>
    <x v="1"/>
    <x v="2"/>
    <x v="48"/>
    <x v="48"/>
    <x v="48"/>
    <x v="47"/>
    <x v="47"/>
    <x v="48"/>
    <x v="48"/>
    <x v="48"/>
    <x v="48"/>
    <x v="48"/>
    <x v="48"/>
    <x v="48"/>
    <x v="4"/>
  </r>
  <r>
    <x v="49"/>
    <x v="44"/>
    <x v="3"/>
    <x v="2"/>
    <x v="49"/>
    <x v="49"/>
    <x v="49"/>
    <x v="48"/>
    <x v="48"/>
    <x v="49"/>
    <x v="49"/>
    <x v="49"/>
    <x v="49"/>
    <x v="49"/>
    <x v="49"/>
    <x v="49"/>
    <x v="0"/>
  </r>
  <r>
    <x v="50"/>
    <x v="0"/>
    <x v="3"/>
    <x v="1"/>
    <x v="50"/>
    <x v="50"/>
    <x v="50"/>
    <x v="49"/>
    <x v="49"/>
    <x v="50"/>
    <x v="50"/>
    <x v="50"/>
    <x v="50"/>
    <x v="50"/>
    <x v="50"/>
    <x v="50"/>
    <x v="0"/>
  </r>
  <r>
    <x v="51"/>
    <x v="45"/>
    <x v="2"/>
    <x v="1"/>
    <x v="51"/>
    <x v="51"/>
    <x v="51"/>
    <x v="50"/>
    <x v="50"/>
    <x v="51"/>
    <x v="51"/>
    <x v="51"/>
    <x v="51"/>
    <x v="51"/>
    <x v="51"/>
    <x v="51"/>
    <x v="3"/>
  </r>
  <r>
    <x v="52"/>
    <x v="46"/>
    <x v="1"/>
    <x v="1"/>
    <x v="52"/>
    <x v="52"/>
    <x v="52"/>
    <x v="51"/>
    <x v="51"/>
    <x v="52"/>
    <x v="52"/>
    <x v="52"/>
    <x v="52"/>
    <x v="52"/>
    <x v="52"/>
    <x v="52"/>
    <x v="1"/>
  </r>
  <r>
    <x v="53"/>
    <x v="47"/>
    <x v="2"/>
    <x v="0"/>
    <x v="53"/>
    <x v="53"/>
    <x v="53"/>
    <x v="52"/>
    <x v="52"/>
    <x v="53"/>
    <x v="53"/>
    <x v="53"/>
    <x v="53"/>
    <x v="53"/>
    <x v="53"/>
    <x v="53"/>
    <x v="1"/>
  </r>
  <r>
    <x v="54"/>
    <x v="1"/>
    <x v="0"/>
    <x v="0"/>
    <x v="54"/>
    <x v="54"/>
    <x v="54"/>
    <x v="53"/>
    <x v="15"/>
    <x v="54"/>
    <x v="54"/>
    <x v="54"/>
    <x v="54"/>
    <x v="54"/>
    <x v="54"/>
    <x v="54"/>
    <x v="1"/>
  </r>
  <r>
    <x v="55"/>
    <x v="48"/>
    <x v="3"/>
    <x v="0"/>
    <x v="55"/>
    <x v="55"/>
    <x v="55"/>
    <x v="54"/>
    <x v="53"/>
    <x v="55"/>
    <x v="55"/>
    <x v="55"/>
    <x v="55"/>
    <x v="55"/>
    <x v="55"/>
    <x v="55"/>
    <x v="1"/>
  </r>
  <r>
    <x v="56"/>
    <x v="49"/>
    <x v="1"/>
    <x v="2"/>
    <x v="56"/>
    <x v="56"/>
    <x v="56"/>
    <x v="55"/>
    <x v="54"/>
    <x v="56"/>
    <x v="56"/>
    <x v="56"/>
    <x v="56"/>
    <x v="56"/>
    <x v="56"/>
    <x v="56"/>
    <x v="4"/>
  </r>
  <r>
    <x v="57"/>
    <x v="50"/>
    <x v="3"/>
    <x v="0"/>
    <x v="57"/>
    <x v="57"/>
    <x v="57"/>
    <x v="56"/>
    <x v="55"/>
    <x v="57"/>
    <x v="57"/>
    <x v="57"/>
    <x v="57"/>
    <x v="57"/>
    <x v="57"/>
    <x v="57"/>
    <x v="2"/>
  </r>
  <r>
    <x v="58"/>
    <x v="51"/>
    <x v="4"/>
    <x v="2"/>
    <x v="58"/>
    <x v="58"/>
    <x v="58"/>
    <x v="57"/>
    <x v="56"/>
    <x v="58"/>
    <x v="58"/>
    <x v="58"/>
    <x v="58"/>
    <x v="58"/>
    <x v="58"/>
    <x v="58"/>
    <x v="2"/>
  </r>
  <r>
    <x v="59"/>
    <x v="52"/>
    <x v="3"/>
    <x v="2"/>
    <x v="59"/>
    <x v="59"/>
    <x v="59"/>
    <x v="58"/>
    <x v="57"/>
    <x v="59"/>
    <x v="59"/>
    <x v="59"/>
    <x v="59"/>
    <x v="59"/>
    <x v="59"/>
    <x v="59"/>
    <x v="3"/>
  </r>
  <r>
    <x v="60"/>
    <x v="53"/>
    <x v="1"/>
    <x v="0"/>
    <x v="60"/>
    <x v="60"/>
    <x v="60"/>
    <x v="59"/>
    <x v="58"/>
    <x v="60"/>
    <x v="60"/>
    <x v="60"/>
    <x v="60"/>
    <x v="60"/>
    <x v="60"/>
    <x v="60"/>
    <x v="5"/>
  </r>
  <r>
    <x v="61"/>
    <x v="54"/>
    <x v="1"/>
    <x v="1"/>
    <x v="61"/>
    <x v="61"/>
    <x v="61"/>
    <x v="60"/>
    <x v="59"/>
    <x v="61"/>
    <x v="61"/>
    <x v="61"/>
    <x v="61"/>
    <x v="61"/>
    <x v="61"/>
    <x v="61"/>
    <x v="4"/>
  </r>
  <r>
    <x v="62"/>
    <x v="55"/>
    <x v="2"/>
    <x v="0"/>
    <x v="62"/>
    <x v="62"/>
    <x v="62"/>
    <x v="61"/>
    <x v="60"/>
    <x v="62"/>
    <x v="62"/>
    <x v="62"/>
    <x v="62"/>
    <x v="62"/>
    <x v="62"/>
    <x v="62"/>
    <x v="3"/>
  </r>
  <r>
    <x v="63"/>
    <x v="11"/>
    <x v="2"/>
    <x v="1"/>
    <x v="63"/>
    <x v="63"/>
    <x v="63"/>
    <x v="62"/>
    <x v="61"/>
    <x v="63"/>
    <x v="63"/>
    <x v="63"/>
    <x v="63"/>
    <x v="63"/>
    <x v="63"/>
    <x v="63"/>
    <x v="0"/>
  </r>
  <r>
    <x v="64"/>
    <x v="56"/>
    <x v="3"/>
    <x v="2"/>
    <x v="64"/>
    <x v="64"/>
    <x v="64"/>
    <x v="63"/>
    <x v="62"/>
    <x v="64"/>
    <x v="64"/>
    <x v="64"/>
    <x v="64"/>
    <x v="64"/>
    <x v="64"/>
    <x v="64"/>
    <x v="3"/>
  </r>
  <r>
    <x v="65"/>
    <x v="57"/>
    <x v="3"/>
    <x v="2"/>
    <x v="65"/>
    <x v="65"/>
    <x v="65"/>
    <x v="64"/>
    <x v="63"/>
    <x v="65"/>
    <x v="65"/>
    <x v="65"/>
    <x v="65"/>
    <x v="65"/>
    <x v="65"/>
    <x v="65"/>
    <x v="5"/>
  </r>
  <r>
    <x v="66"/>
    <x v="58"/>
    <x v="4"/>
    <x v="1"/>
    <x v="66"/>
    <x v="66"/>
    <x v="66"/>
    <x v="65"/>
    <x v="64"/>
    <x v="66"/>
    <x v="66"/>
    <x v="66"/>
    <x v="66"/>
    <x v="66"/>
    <x v="66"/>
    <x v="66"/>
    <x v="2"/>
  </r>
  <r>
    <x v="67"/>
    <x v="59"/>
    <x v="1"/>
    <x v="1"/>
    <x v="67"/>
    <x v="67"/>
    <x v="67"/>
    <x v="66"/>
    <x v="65"/>
    <x v="67"/>
    <x v="67"/>
    <x v="67"/>
    <x v="67"/>
    <x v="67"/>
    <x v="67"/>
    <x v="67"/>
    <x v="1"/>
  </r>
  <r>
    <x v="68"/>
    <x v="28"/>
    <x v="2"/>
    <x v="0"/>
    <x v="68"/>
    <x v="68"/>
    <x v="68"/>
    <x v="67"/>
    <x v="66"/>
    <x v="68"/>
    <x v="68"/>
    <x v="68"/>
    <x v="68"/>
    <x v="68"/>
    <x v="68"/>
    <x v="68"/>
    <x v="0"/>
  </r>
  <r>
    <x v="69"/>
    <x v="60"/>
    <x v="1"/>
    <x v="3"/>
    <x v="69"/>
    <x v="69"/>
    <x v="69"/>
    <x v="68"/>
    <x v="67"/>
    <x v="69"/>
    <x v="69"/>
    <x v="69"/>
    <x v="69"/>
    <x v="69"/>
    <x v="69"/>
    <x v="69"/>
    <x v="4"/>
  </r>
  <r>
    <x v="70"/>
    <x v="61"/>
    <x v="4"/>
    <x v="3"/>
    <x v="70"/>
    <x v="70"/>
    <x v="70"/>
    <x v="69"/>
    <x v="49"/>
    <x v="70"/>
    <x v="70"/>
    <x v="70"/>
    <x v="70"/>
    <x v="70"/>
    <x v="70"/>
    <x v="70"/>
    <x v="3"/>
  </r>
  <r>
    <x v="71"/>
    <x v="39"/>
    <x v="3"/>
    <x v="2"/>
    <x v="71"/>
    <x v="71"/>
    <x v="71"/>
    <x v="70"/>
    <x v="52"/>
    <x v="71"/>
    <x v="71"/>
    <x v="71"/>
    <x v="71"/>
    <x v="71"/>
    <x v="71"/>
    <x v="71"/>
    <x v="0"/>
  </r>
  <r>
    <x v="72"/>
    <x v="62"/>
    <x v="4"/>
    <x v="3"/>
    <x v="72"/>
    <x v="72"/>
    <x v="72"/>
    <x v="71"/>
    <x v="68"/>
    <x v="72"/>
    <x v="72"/>
    <x v="72"/>
    <x v="72"/>
    <x v="72"/>
    <x v="72"/>
    <x v="72"/>
    <x v="4"/>
  </r>
  <r>
    <x v="73"/>
    <x v="1"/>
    <x v="1"/>
    <x v="2"/>
    <x v="73"/>
    <x v="73"/>
    <x v="73"/>
    <x v="72"/>
    <x v="69"/>
    <x v="73"/>
    <x v="73"/>
    <x v="73"/>
    <x v="73"/>
    <x v="73"/>
    <x v="73"/>
    <x v="73"/>
    <x v="1"/>
  </r>
  <r>
    <x v="74"/>
    <x v="58"/>
    <x v="2"/>
    <x v="1"/>
    <x v="74"/>
    <x v="74"/>
    <x v="74"/>
    <x v="73"/>
    <x v="70"/>
    <x v="74"/>
    <x v="74"/>
    <x v="74"/>
    <x v="74"/>
    <x v="74"/>
    <x v="74"/>
    <x v="74"/>
    <x v="2"/>
  </r>
  <r>
    <x v="75"/>
    <x v="63"/>
    <x v="4"/>
    <x v="2"/>
    <x v="75"/>
    <x v="75"/>
    <x v="75"/>
    <x v="74"/>
    <x v="71"/>
    <x v="75"/>
    <x v="75"/>
    <x v="75"/>
    <x v="75"/>
    <x v="75"/>
    <x v="75"/>
    <x v="75"/>
    <x v="6"/>
  </r>
  <r>
    <x v="76"/>
    <x v="64"/>
    <x v="2"/>
    <x v="0"/>
    <x v="76"/>
    <x v="76"/>
    <x v="76"/>
    <x v="75"/>
    <x v="71"/>
    <x v="76"/>
    <x v="76"/>
    <x v="76"/>
    <x v="76"/>
    <x v="76"/>
    <x v="76"/>
    <x v="76"/>
    <x v="5"/>
  </r>
  <r>
    <x v="77"/>
    <x v="65"/>
    <x v="0"/>
    <x v="3"/>
    <x v="77"/>
    <x v="77"/>
    <x v="77"/>
    <x v="76"/>
    <x v="72"/>
    <x v="77"/>
    <x v="77"/>
    <x v="77"/>
    <x v="77"/>
    <x v="77"/>
    <x v="77"/>
    <x v="77"/>
    <x v="4"/>
  </r>
  <r>
    <x v="78"/>
    <x v="15"/>
    <x v="0"/>
    <x v="0"/>
    <x v="78"/>
    <x v="78"/>
    <x v="78"/>
    <x v="77"/>
    <x v="73"/>
    <x v="78"/>
    <x v="78"/>
    <x v="78"/>
    <x v="78"/>
    <x v="78"/>
    <x v="78"/>
    <x v="78"/>
    <x v="3"/>
  </r>
  <r>
    <x v="79"/>
    <x v="66"/>
    <x v="1"/>
    <x v="3"/>
    <x v="79"/>
    <x v="79"/>
    <x v="79"/>
    <x v="78"/>
    <x v="74"/>
    <x v="79"/>
    <x v="79"/>
    <x v="79"/>
    <x v="79"/>
    <x v="79"/>
    <x v="79"/>
    <x v="79"/>
    <x v="3"/>
  </r>
  <r>
    <x v="80"/>
    <x v="36"/>
    <x v="3"/>
    <x v="3"/>
    <x v="80"/>
    <x v="80"/>
    <x v="80"/>
    <x v="79"/>
    <x v="72"/>
    <x v="80"/>
    <x v="80"/>
    <x v="80"/>
    <x v="80"/>
    <x v="80"/>
    <x v="80"/>
    <x v="80"/>
    <x v="1"/>
  </r>
  <r>
    <x v="81"/>
    <x v="67"/>
    <x v="0"/>
    <x v="3"/>
    <x v="81"/>
    <x v="81"/>
    <x v="81"/>
    <x v="80"/>
    <x v="75"/>
    <x v="81"/>
    <x v="81"/>
    <x v="81"/>
    <x v="81"/>
    <x v="81"/>
    <x v="81"/>
    <x v="81"/>
    <x v="4"/>
  </r>
  <r>
    <x v="82"/>
    <x v="32"/>
    <x v="3"/>
    <x v="3"/>
    <x v="82"/>
    <x v="82"/>
    <x v="82"/>
    <x v="81"/>
    <x v="76"/>
    <x v="82"/>
    <x v="82"/>
    <x v="82"/>
    <x v="82"/>
    <x v="82"/>
    <x v="82"/>
    <x v="82"/>
    <x v="4"/>
  </r>
  <r>
    <x v="83"/>
    <x v="38"/>
    <x v="0"/>
    <x v="3"/>
    <x v="83"/>
    <x v="83"/>
    <x v="83"/>
    <x v="82"/>
    <x v="77"/>
    <x v="83"/>
    <x v="83"/>
    <x v="83"/>
    <x v="83"/>
    <x v="83"/>
    <x v="83"/>
    <x v="83"/>
    <x v="2"/>
  </r>
  <r>
    <x v="84"/>
    <x v="37"/>
    <x v="1"/>
    <x v="0"/>
    <x v="84"/>
    <x v="84"/>
    <x v="84"/>
    <x v="83"/>
    <x v="78"/>
    <x v="84"/>
    <x v="84"/>
    <x v="84"/>
    <x v="84"/>
    <x v="84"/>
    <x v="84"/>
    <x v="84"/>
    <x v="5"/>
  </r>
  <r>
    <x v="85"/>
    <x v="43"/>
    <x v="0"/>
    <x v="2"/>
    <x v="85"/>
    <x v="85"/>
    <x v="85"/>
    <x v="84"/>
    <x v="79"/>
    <x v="85"/>
    <x v="85"/>
    <x v="85"/>
    <x v="85"/>
    <x v="85"/>
    <x v="85"/>
    <x v="85"/>
    <x v="4"/>
  </r>
  <r>
    <x v="86"/>
    <x v="68"/>
    <x v="2"/>
    <x v="2"/>
    <x v="86"/>
    <x v="86"/>
    <x v="86"/>
    <x v="85"/>
    <x v="80"/>
    <x v="86"/>
    <x v="86"/>
    <x v="86"/>
    <x v="86"/>
    <x v="86"/>
    <x v="86"/>
    <x v="86"/>
    <x v="5"/>
  </r>
  <r>
    <x v="87"/>
    <x v="21"/>
    <x v="4"/>
    <x v="2"/>
    <x v="87"/>
    <x v="87"/>
    <x v="87"/>
    <x v="86"/>
    <x v="81"/>
    <x v="87"/>
    <x v="87"/>
    <x v="87"/>
    <x v="87"/>
    <x v="87"/>
    <x v="87"/>
    <x v="87"/>
    <x v="2"/>
  </r>
  <r>
    <x v="88"/>
    <x v="53"/>
    <x v="2"/>
    <x v="1"/>
    <x v="88"/>
    <x v="88"/>
    <x v="88"/>
    <x v="87"/>
    <x v="82"/>
    <x v="88"/>
    <x v="88"/>
    <x v="88"/>
    <x v="88"/>
    <x v="88"/>
    <x v="88"/>
    <x v="88"/>
    <x v="5"/>
  </r>
  <r>
    <x v="89"/>
    <x v="19"/>
    <x v="1"/>
    <x v="0"/>
    <x v="89"/>
    <x v="89"/>
    <x v="89"/>
    <x v="88"/>
    <x v="83"/>
    <x v="89"/>
    <x v="89"/>
    <x v="89"/>
    <x v="89"/>
    <x v="89"/>
    <x v="89"/>
    <x v="89"/>
    <x v="0"/>
  </r>
  <r>
    <x v="90"/>
    <x v="41"/>
    <x v="3"/>
    <x v="2"/>
    <x v="90"/>
    <x v="90"/>
    <x v="90"/>
    <x v="89"/>
    <x v="84"/>
    <x v="90"/>
    <x v="90"/>
    <x v="90"/>
    <x v="90"/>
    <x v="90"/>
    <x v="90"/>
    <x v="90"/>
    <x v="1"/>
  </r>
  <r>
    <x v="91"/>
    <x v="37"/>
    <x v="0"/>
    <x v="1"/>
    <x v="91"/>
    <x v="91"/>
    <x v="91"/>
    <x v="90"/>
    <x v="85"/>
    <x v="91"/>
    <x v="91"/>
    <x v="91"/>
    <x v="91"/>
    <x v="91"/>
    <x v="91"/>
    <x v="91"/>
    <x v="5"/>
  </r>
  <r>
    <x v="92"/>
    <x v="69"/>
    <x v="3"/>
    <x v="2"/>
    <x v="92"/>
    <x v="92"/>
    <x v="92"/>
    <x v="91"/>
    <x v="86"/>
    <x v="92"/>
    <x v="92"/>
    <x v="92"/>
    <x v="92"/>
    <x v="92"/>
    <x v="92"/>
    <x v="92"/>
    <x v="0"/>
  </r>
  <r>
    <x v="93"/>
    <x v="70"/>
    <x v="1"/>
    <x v="3"/>
    <x v="93"/>
    <x v="93"/>
    <x v="93"/>
    <x v="92"/>
    <x v="67"/>
    <x v="93"/>
    <x v="93"/>
    <x v="93"/>
    <x v="93"/>
    <x v="93"/>
    <x v="93"/>
    <x v="93"/>
    <x v="2"/>
  </r>
  <r>
    <x v="94"/>
    <x v="71"/>
    <x v="3"/>
    <x v="1"/>
    <x v="94"/>
    <x v="94"/>
    <x v="94"/>
    <x v="93"/>
    <x v="67"/>
    <x v="94"/>
    <x v="94"/>
    <x v="94"/>
    <x v="94"/>
    <x v="94"/>
    <x v="94"/>
    <x v="94"/>
    <x v="0"/>
  </r>
  <r>
    <x v="95"/>
    <x v="72"/>
    <x v="1"/>
    <x v="2"/>
    <x v="95"/>
    <x v="95"/>
    <x v="95"/>
    <x v="94"/>
    <x v="87"/>
    <x v="95"/>
    <x v="95"/>
    <x v="95"/>
    <x v="95"/>
    <x v="95"/>
    <x v="95"/>
    <x v="95"/>
    <x v="6"/>
  </r>
  <r>
    <x v="96"/>
    <x v="73"/>
    <x v="4"/>
    <x v="1"/>
    <x v="96"/>
    <x v="96"/>
    <x v="96"/>
    <x v="95"/>
    <x v="88"/>
    <x v="96"/>
    <x v="96"/>
    <x v="96"/>
    <x v="96"/>
    <x v="96"/>
    <x v="96"/>
    <x v="96"/>
    <x v="3"/>
  </r>
  <r>
    <x v="97"/>
    <x v="74"/>
    <x v="1"/>
    <x v="3"/>
    <x v="97"/>
    <x v="97"/>
    <x v="97"/>
    <x v="96"/>
    <x v="89"/>
    <x v="97"/>
    <x v="97"/>
    <x v="97"/>
    <x v="97"/>
    <x v="97"/>
    <x v="97"/>
    <x v="97"/>
    <x v="1"/>
  </r>
  <r>
    <x v="98"/>
    <x v="4"/>
    <x v="3"/>
    <x v="3"/>
    <x v="98"/>
    <x v="98"/>
    <x v="98"/>
    <x v="97"/>
    <x v="90"/>
    <x v="98"/>
    <x v="98"/>
    <x v="98"/>
    <x v="98"/>
    <x v="98"/>
    <x v="98"/>
    <x v="98"/>
    <x v="0"/>
  </r>
  <r>
    <x v="99"/>
    <x v="75"/>
    <x v="0"/>
    <x v="0"/>
    <x v="99"/>
    <x v="99"/>
    <x v="99"/>
    <x v="98"/>
    <x v="91"/>
    <x v="99"/>
    <x v="99"/>
    <x v="99"/>
    <x v="99"/>
    <x v="99"/>
    <x v="99"/>
    <x v="99"/>
    <x v="3"/>
  </r>
  <r>
    <x v="100"/>
    <x v="60"/>
    <x v="0"/>
    <x v="0"/>
    <x v="100"/>
    <x v="100"/>
    <x v="100"/>
    <x v="99"/>
    <x v="92"/>
    <x v="100"/>
    <x v="100"/>
    <x v="100"/>
    <x v="100"/>
    <x v="100"/>
    <x v="100"/>
    <x v="100"/>
    <x v="4"/>
  </r>
  <r>
    <x v="101"/>
    <x v="74"/>
    <x v="3"/>
    <x v="2"/>
    <x v="101"/>
    <x v="101"/>
    <x v="101"/>
    <x v="100"/>
    <x v="93"/>
    <x v="101"/>
    <x v="101"/>
    <x v="101"/>
    <x v="101"/>
    <x v="101"/>
    <x v="101"/>
    <x v="101"/>
    <x v="1"/>
  </r>
  <r>
    <x v="102"/>
    <x v="76"/>
    <x v="4"/>
    <x v="0"/>
    <x v="102"/>
    <x v="102"/>
    <x v="102"/>
    <x v="101"/>
    <x v="94"/>
    <x v="102"/>
    <x v="102"/>
    <x v="102"/>
    <x v="102"/>
    <x v="102"/>
    <x v="102"/>
    <x v="102"/>
    <x v="4"/>
  </r>
  <r>
    <x v="103"/>
    <x v="8"/>
    <x v="3"/>
    <x v="0"/>
    <x v="103"/>
    <x v="103"/>
    <x v="103"/>
    <x v="102"/>
    <x v="95"/>
    <x v="103"/>
    <x v="103"/>
    <x v="103"/>
    <x v="103"/>
    <x v="103"/>
    <x v="103"/>
    <x v="103"/>
    <x v="4"/>
  </r>
  <r>
    <x v="104"/>
    <x v="11"/>
    <x v="2"/>
    <x v="3"/>
    <x v="104"/>
    <x v="104"/>
    <x v="104"/>
    <x v="103"/>
    <x v="96"/>
    <x v="104"/>
    <x v="104"/>
    <x v="104"/>
    <x v="104"/>
    <x v="104"/>
    <x v="104"/>
    <x v="104"/>
    <x v="0"/>
  </r>
  <r>
    <x v="105"/>
    <x v="77"/>
    <x v="0"/>
    <x v="3"/>
    <x v="105"/>
    <x v="105"/>
    <x v="105"/>
    <x v="104"/>
    <x v="54"/>
    <x v="105"/>
    <x v="105"/>
    <x v="105"/>
    <x v="105"/>
    <x v="105"/>
    <x v="105"/>
    <x v="105"/>
    <x v="2"/>
  </r>
  <r>
    <x v="106"/>
    <x v="78"/>
    <x v="4"/>
    <x v="1"/>
    <x v="106"/>
    <x v="106"/>
    <x v="106"/>
    <x v="105"/>
    <x v="97"/>
    <x v="106"/>
    <x v="106"/>
    <x v="106"/>
    <x v="106"/>
    <x v="106"/>
    <x v="106"/>
    <x v="106"/>
    <x v="2"/>
  </r>
  <r>
    <x v="107"/>
    <x v="79"/>
    <x v="3"/>
    <x v="2"/>
    <x v="107"/>
    <x v="107"/>
    <x v="107"/>
    <x v="106"/>
    <x v="56"/>
    <x v="107"/>
    <x v="107"/>
    <x v="107"/>
    <x v="107"/>
    <x v="107"/>
    <x v="107"/>
    <x v="107"/>
    <x v="4"/>
  </r>
  <r>
    <x v="108"/>
    <x v="80"/>
    <x v="2"/>
    <x v="2"/>
    <x v="108"/>
    <x v="108"/>
    <x v="108"/>
    <x v="107"/>
    <x v="98"/>
    <x v="108"/>
    <x v="108"/>
    <x v="108"/>
    <x v="108"/>
    <x v="108"/>
    <x v="108"/>
    <x v="108"/>
    <x v="2"/>
  </r>
  <r>
    <x v="109"/>
    <x v="20"/>
    <x v="2"/>
    <x v="0"/>
    <x v="109"/>
    <x v="109"/>
    <x v="109"/>
    <x v="108"/>
    <x v="99"/>
    <x v="109"/>
    <x v="109"/>
    <x v="109"/>
    <x v="109"/>
    <x v="109"/>
    <x v="109"/>
    <x v="109"/>
    <x v="6"/>
  </r>
  <r>
    <x v="110"/>
    <x v="81"/>
    <x v="3"/>
    <x v="2"/>
    <x v="110"/>
    <x v="110"/>
    <x v="110"/>
    <x v="109"/>
    <x v="100"/>
    <x v="110"/>
    <x v="110"/>
    <x v="110"/>
    <x v="110"/>
    <x v="110"/>
    <x v="110"/>
    <x v="110"/>
    <x v="5"/>
  </r>
  <r>
    <x v="111"/>
    <x v="3"/>
    <x v="2"/>
    <x v="0"/>
    <x v="111"/>
    <x v="111"/>
    <x v="111"/>
    <x v="110"/>
    <x v="101"/>
    <x v="111"/>
    <x v="111"/>
    <x v="111"/>
    <x v="111"/>
    <x v="111"/>
    <x v="111"/>
    <x v="111"/>
    <x v="0"/>
  </r>
  <r>
    <x v="112"/>
    <x v="68"/>
    <x v="0"/>
    <x v="0"/>
    <x v="112"/>
    <x v="112"/>
    <x v="112"/>
    <x v="111"/>
    <x v="102"/>
    <x v="112"/>
    <x v="112"/>
    <x v="112"/>
    <x v="112"/>
    <x v="112"/>
    <x v="112"/>
    <x v="112"/>
    <x v="5"/>
  </r>
  <r>
    <x v="113"/>
    <x v="68"/>
    <x v="3"/>
    <x v="3"/>
    <x v="113"/>
    <x v="113"/>
    <x v="113"/>
    <x v="112"/>
    <x v="103"/>
    <x v="113"/>
    <x v="113"/>
    <x v="113"/>
    <x v="113"/>
    <x v="113"/>
    <x v="113"/>
    <x v="113"/>
    <x v="5"/>
  </r>
  <r>
    <x v="114"/>
    <x v="10"/>
    <x v="3"/>
    <x v="3"/>
    <x v="114"/>
    <x v="114"/>
    <x v="114"/>
    <x v="113"/>
    <x v="104"/>
    <x v="114"/>
    <x v="114"/>
    <x v="114"/>
    <x v="114"/>
    <x v="114"/>
    <x v="114"/>
    <x v="114"/>
    <x v="2"/>
  </r>
  <r>
    <x v="115"/>
    <x v="46"/>
    <x v="2"/>
    <x v="3"/>
    <x v="115"/>
    <x v="115"/>
    <x v="115"/>
    <x v="114"/>
    <x v="105"/>
    <x v="115"/>
    <x v="115"/>
    <x v="115"/>
    <x v="115"/>
    <x v="115"/>
    <x v="115"/>
    <x v="115"/>
    <x v="1"/>
  </r>
  <r>
    <x v="116"/>
    <x v="82"/>
    <x v="3"/>
    <x v="3"/>
    <x v="116"/>
    <x v="116"/>
    <x v="116"/>
    <x v="115"/>
    <x v="106"/>
    <x v="116"/>
    <x v="116"/>
    <x v="116"/>
    <x v="116"/>
    <x v="116"/>
    <x v="116"/>
    <x v="116"/>
    <x v="3"/>
  </r>
  <r>
    <x v="117"/>
    <x v="83"/>
    <x v="0"/>
    <x v="2"/>
    <x v="117"/>
    <x v="117"/>
    <x v="117"/>
    <x v="116"/>
    <x v="107"/>
    <x v="117"/>
    <x v="117"/>
    <x v="117"/>
    <x v="117"/>
    <x v="117"/>
    <x v="117"/>
    <x v="117"/>
    <x v="3"/>
  </r>
  <r>
    <x v="118"/>
    <x v="84"/>
    <x v="3"/>
    <x v="0"/>
    <x v="118"/>
    <x v="118"/>
    <x v="118"/>
    <x v="117"/>
    <x v="108"/>
    <x v="118"/>
    <x v="118"/>
    <x v="118"/>
    <x v="118"/>
    <x v="118"/>
    <x v="118"/>
    <x v="118"/>
    <x v="4"/>
  </r>
  <r>
    <x v="119"/>
    <x v="40"/>
    <x v="4"/>
    <x v="0"/>
    <x v="119"/>
    <x v="119"/>
    <x v="119"/>
    <x v="118"/>
    <x v="26"/>
    <x v="119"/>
    <x v="119"/>
    <x v="119"/>
    <x v="119"/>
    <x v="119"/>
    <x v="119"/>
    <x v="119"/>
    <x v="0"/>
  </r>
  <r>
    <x v="120"/>
    <x v="19"/>
    <x v="0"/>
    <x v="2"/>
    <x v="120"/>
    <x v="120"/>
    <x v="120"/>
    <x v="119"/>
    <x v="44"/>
    <x v="120"/>
    <x v="120"/>
    <x v="120"/>
    <x v="120"/>
    <x v="120"/>
    <x v="120"/>
    <x v="120"/>
    <x v="0"/>
  </r>
  <r>
    <x v="121"/>
    <x v="85"/>
    <x v="3"/>
    <x v="0"/>
    <x v="121"/>
    <x v="121"/>
    <x v="121"/>
    <x v="120"/>
    <x v="109"/>
    <x v="121"/>
    <x v="121"/>
    <x v="121"/>
    <x v="121"/>
    <x v="121"/>
    <x v="121"/>
    <x v="121"/>
    <x v="1"/>
  </r>
  <r>
    <x v="122"/>
    <x v="77"/>
    <x v="2"/>
    <x v="0"/>
    <x v="122"/>
    <x v="122"/>
    <x v="122"/>
    <x v="121"/>
    <x v="110"/>
    <x v="122"/>
    <x v="122"/>
    <x v="122"/>
    <x v="122"/>
    <x v="122"/>
    <x v="122"/>
    <x v="122"/>
    <x v="2"/>
  </r>
  <r>
    <x v="123"/>
    <x v="18"/>
    <x v="2"/>
    <x v="0"/>
    <x v="123"/>
    <x v="123"/>
    <x v="123"/>
    <x v="122"/>
    <x v="111"/>
    <x v="123"/>
    <x v="123"/>
    <x v="123"/>
    <x v="123"/>
    <x v="123"/>
    <x v="123"/>
    <x v="123"/>
    <x v="6"/>
  </r>
  <r>
    <x v="124"/>
    <x v="6"/>
    <x v="0"/>
    <x v="3"/>
    <x v="124"/>
    <x v="124"/>
    <x v="124"/>
    <x v="123"/>
    <x v="112"/>
    <x v="124"/>
    <x v="124"/>
    <x v="124"/>
    <x v="124"/>
    <x v="124"/>
    <x v="124"/>
    <x v="124"/>
    <x v="3"/>
  </r>
  <r>
    <x v="125"/>
    <x v="21"/>
    <x v="4"/>
    <x v="2"/>
    <x v="125"/>
    <x v="125"/>
    <x v="125"/>
    <x v="124"/>
    <x v="113"/>
    <x v="125"/>
    <x v="125"/>
    <x v="125"/>
    <x v="125"/>
    <x v="125"/>
    <x v="125"/>
    <x v="125"/>
    <x v="2"/>
  </r>
  <r>
    <x v="126"/>
    <x v="86"/>
    <x v="0"/>
    <x v="1"/>
    <x v="126"/>
    <x v="126"/>
    <x v="126"/>
    <x v="125"/>
    <x v="82"/>
    <x v="126"/>
    <x v="126"/>
    <x v="126"/>
    <x v="126"/>
    <x v="126"/>
    <x v="126"/>
    <x v="126"/>
    <x v="2"/>
  </r>
  <r>
    <x v="127"/>
    <x v="60"/>
    <x v="3"/>
    <x v="2"/>
    <x v="127"/>
    <x v="127"/>
    <x v="127"/>
    <x v="126"/>
    <x v="114"/>
    <x v="127"/>
    <x v="127"/>
    <x v="127"/>
    <x v="127"/>
    <x v="127"/>
    <x v="127"/>
    <x v="127"/>
    <x v="4"/>
  </r>
  <r>
    <x v="128"/>
    <x v="87"/>
    <x v="3"/>
    <x v="3"/>
    <x v="128"/>
    <x v="128"/>
    <x v="128"/>
    <x v="127"/>
    <x v="62"/>
    <x v="128"/>
    <x v="128"/>
    <x v="128"/>
    <x v="128"/>
    <x v="128"/>
    <x v="128"/>
    <x v="128"/>
    <x v="1"/>
  </r>
  <r>
    <x v="129"/>
    <x v="9"/>
    <x v="0"/>
    <x v="2"/>
    <x v="129"/>
    <x v="129"/>
    <x v="129"/>
    <x v="128"/>
    <x v="115"/>
    <x v="129"/>
    <x v="129"/>
    <x v="129"/>
    <x v="129"/>
    <x v="129"/>
    <x v="129"/>
    <x v="129"/>
    <x v="3"/>
  </r>
  <r>
    <x v="130"/>
    <x v="88"/>
    <x v="4"/>
    <x v="0"/>
    <x v="130"/>
    <x v="130"/>
    <x v="130"/>
    <x v="129"/>
    <x v="116"/>
    <x v="130"/>
    <x v="130"/>
    <x v="130"/>
    <x v="130"/>
    <x v="130"/>
    <x v="130"/>
    <x v="130"/>
    <x v="2"/>
  </r>
  <r>
    <x v="131"/>
    <x v="5"/>
    <x v="1"/>
    <x v="1"/>
    <x v="131"/>
    <x v="131"/>
    <x v="131"/>
    <x v="130"/>
    <x v="117"/>
    <x v="131"/>
    <x v="131"/>
    <x v="131"/>
    <x v="131"/>
    <x v="131"/>
    <x v="131"/>
    <x v="131"/>
    <x v="2"/>
  </r>
  <r>
    <x v="132"/>
    <x v="81"/>
    <x v="1"/>
    <x v="3"/>
    <x v="132"/>
    <x v="132"/>
    <x v="132"/>
    <x v="131"/>
    <x v="118"/>
    <x v="132"/>
    <x v="132"/>
    <x v="132"/>
    <x v="132"/>
    <x v="132"/>
    <x v="132"/>
    <x v="132"/>
    <x v="5"/>
  </r>
  <r>
    <x v="133"/>
    <x v="65"/>
    <x v="1"/>
    <x v="1"/>
    <x v="133"/>
    <x v="133"/>
    <x v="133"/>
    <x v="132"/>
    <x v="107"/>
    <x v="133"/>
    <x v="133"/>
    <x v="133"/>
    <x v="133"/>
    <x v="133"/>
    <x v="133"/>
    <x v="133"/>
    <x v="4"/>
  </r>
  <r>
    <x v="134"/>
    <x v="89"/>
    <x v="4"/>
    <x v="0"/>
    <x v="134"/>
    <x v="134"/>
    <x v="134"/>
    <x v="133"/>
    <x v="119"/>
    <x v="134"/>
    <x v="134"/>
    <x v="134"/>
    <x v="134"/>
    <x v="134"/>
    <x v="134"/>
    <x v="134"/>
    <x v="1"/>
  </r>
  <r>
    <x v="135"/>
    <x v="90"/>
    <x v="1"/>
    <x v="3"/>
    <x v="135"/>
    <x v="135"/>
    <x v="135"/>
    <x v="134"/>
    <x v="120"/>
    <x v="135"/>
    <x v="135"/>
    <x v="135"/>
    <x v="135"/>
    <x v="135"/>
    <x v="135"/>
    <x v="135"/>
    <x v="4"/>
  </r>
  <r>
    <x v="136"/>
    <x v="91"/>
    <x v="4"/>
    <x v="1"/>
    <x v="136"/>
    <x v="136"/>
    <x v="136"/>
    <x v="135"/>
    <x v="58"/>
    <x v="136"/>
    <x v="136"/>
    <x v="136"/>
    <x v="136"/>
    <x v="136"/>
    <x v="136"/>
    <x v="136"/>
    <x v="5"/>
  </r>
  <r>
    <x v="137"/>
    <x v="92"/>
    <x v="4"/>
    <x v="2"/>
    <x v="137"/>
    <x v="137"/>
    <x v="137"/>
    <x v="136"/>
    <x v="116"/>
    <x v="137"/>
    <x v="137"/>
    <x v="137"/>
    <x v="137"/>
    <x v="137"/>
    <x v="137"/>
    <x v="137"/>
    <x v="0"/>
  </r>
  <r>
    <x v="138"/>
    <x v="13"/>
    <x v="0"/>
    <x v="3"/>
    <x v="138"/>
    <x v="138"/>
    <x v="138"/>
    <x v="137"/>
    <x v="121"/>
    <x v="138"/>
    <x v="138"/>
    <x v="138"/>
    <x v="138"/>
    <x v="138"/>
    <x v="138"/>
    <x v="138"/>
    <x v="5"/>
  </r>
  <r>
    <x v="139"/>
    <x v="93"/>
    <x v="1"/>
    <x v="2"/>
    <x v="139"/>
    <x v="139"/>
    <x v="139"/>
    <x v="138"/>
    <x v="122"/>
    <x v="139"/>
    <x v="139"/>
    <x v="139"/>
    <x v="139"/>
    <x v="139"/>
    <x v="139"/>
    <x v="139"/>
    <x v="0"/>
  </r>
  <r>
    <x v="140"/>
    <x v="77"/>
    <x v="4"/>
    <x v="1"/>
    <x v="140"/>
    <x v="140"/>
    <x v="140"/>
    <x v="139"/>
    <x v="123"/>
    <x v="140"/>
    <x v="140"/>
    <x v="140"/>
    <x v="140"/>
    <x v="140"/>
    <x v="140"/>
    <x v="140"/>
    <x v="2"/>
  </r>
  <r>
    <x v="141"/>
    <x v="93"/>
    <x v="4"/>
    <x v="2"/>
    <x v="141"/>
    <x v="141"/>
    <x v="141"/>
    <x v="140"/>
    <x v="124"/>
    <x v="141"/>
    <x v="141"/>
    <x v="141"/>
    <x v="141"/>
    <x v="141"/>
    <x v="141"/>
    <x v="141"/>
    <x v="0"/>
  </r>
  <r>
    <x v="142"/>
    <x v="94"/>
    <x v="2"/>
    <x v="2"/>
    <x v="142"/>
    <x v="142"/>
    <x v="142"/>
    <x v="141"/>
    <x v="76"/>
    <x v="142"/>
    <x v="142"/>
    <x v="142"/>
    <x v="142"/>
    <x v="142"/>
    <x v="142"/>
    <x v="142"/>
    <x v="0"/>
  </r>
  <r>
    <x v="143"/>
    <x v="95"/>
    <x v="0"/>
    <x v="2"/>
    <x v="143"/>
    <x v="143"/>
    <x v="143"/>
    <x v="142"/>
    <x v="125"/>
    <x v="143"/>
    <x v="143"/>
    <x v="143"/>
    <x v="143"/>
    <x v="143"/>
    <x v="143"/>
    <x v="143"/>
    <x v="6"/>
  </r>
  <r>
    <x v="144"/>
    <x v="96"/>
    <x v="4"/>
    <x v="2"/>
    <x v="144"/>
    <x v="144"/>
    <x v="144"/>
    <x v="143"/>
    <x v="126"/>
    <x v="144"/>
    <x v="144"/>
    <x v="144"/>
    <x v="144"/>
    <x v="144"/>
    <x v="144"/>
    <x v="144"/>
    <x v="2"/>
  </r>
  <r>
    <x v="145"/>
    <x v="97"/>
    <x v="3"/>
    <x v="3"/>
    <x v="145"/>
    <x v="145"/>
    <x v="145"/>
    <x v="144"/>
    <x v="127"/>
    <x v="145"/>
    <x v="145"/>
    <x v="145"/>
    <x v="145"/>
    <x v="145"/>
    <x v="145"/>
    <x v="145"/>
    <x v="0"/>
  </r>
  <r>
    <x v="146"/>
    <x v="98"/>
    <x v="2"/>
    <x v="0"/>
    <x v="146"/>
    <x v="146"/>
    <x v="146"/>
    <x v="145"/>
    <x v="106"/>
    <x v="146"/>
    <x v="146"/>
    <x v="146"/>
    <x v="146"/>
    <x v="146"/>
    <x v="146"/>
    <x v="146"/>
    <x v="2"/>
  </r>
  <r>
    <x v="147"/>
    <x v="99"/>
    <x v="3"/>
    <x v="2"/>
    <x v="147"/>
    <x v="147"/>
    <x v="147"/>
    <x v="146"/>
    <x v="128"/>
    <x v="147"/>
    <x v="147"/>
    <x v="147"/>
    <x v="147"/>
    <x v="147"/>
    <x v="147"/>
    <x v="147"/>
    <x v="4"/>
  </r>
  <r>
    <x v="148"/>
    <x v="19"/>
    <x v="1"/>
    <x v="2"/>
    <x v="148"/>
    <x v="148"/>
    <x v="148"/>
    <x v="147"/>
    <x v="129"/>
    <x v="148"/>
    <x v="148"/>
    <x v="148"/>
    <x v="148"/>
    <x v="148"/>
    <x v="148"/>
    <x v="148"/>
    <x v="0"/>
  </r>
  <r>
    <x v="149"/>
    <x v="100"/>
    <x v="3"/>
    <x v="3"/>
    <x v="149"/>
    <x v="149"/>
    <x v="149"/>
    <x v="148"/>
    <x v="130"/>
    <x v="149"/>
    <x v="149"/>
    <x v="149"/>
    <x v="149"/>
    <x v="149"/>
    <x v="149"/>
    <x v="149"/>
    <x v="0"/>
  </r>
  <r>
    <x v="150"/>
    <x v="28"/>
    <x v="1"/>
    <x v="3"/>
    <x v="150"/>
    <x v="150"/>
    <x v="150"/>
    <x v="149"/>
    <x v="131"/>
    <x v="150"/>
    <x v="150"/>
    <x v="150"/>
    <x v="150"/>
    <x v="150"/>
    <x v="150"/>
    <x v="150"/>
    <x v="0"/>
  </r>
  <r>
    <x v="151"/>
    <x v="14"/>
    <x v="1"/>
    <x v="3"/>
    <x v="151"/>
    <x v="151"/>
    <x v="151"/>
    <x v="150"/>
    <x v="132"/>
    <x v="151"/>
    <x v="151"/>
    <x v="151"/>
    <x v="151"/>
    <x v="151"/>
    <x v="151"/>
    <x v="151"/>
    <x v="4"/>
  </r>
  <r>
    <x v="152"/>
    <x v="101"/>
    <x v="4"/>
    <x v="2"/>
    <x v="152"/>
    <x v="152"/>
    <x v="152"/>
    <x v="151"/>
    <x v="133"/>
    <x v="152"/>
    <x v="152"/>
    <x v="152"/>
    <x v="152"/>
    <x v="152"/>
    <x v="152"/>
    <x v="152"/>
    <x v="1"/>
  </r>
  <r>
    <x v="153"/>
    <x v="102"/>
    <x v="4"/>
    <x v="3"/>
    <x v="153"/>
    <x v="153"/>
    <x v="153"/>
    <x v="152"/>
    <x v="134"/>
    <x v="153"/>
    <x v="153"/>
    <x v="153"/>
    <x v="153"/>
    <x v="153"/>
    <x v="153"/>
    <x v="153"/>
    <x v="1"/>
  </r>
  <r>
    <x v="154"/>
    <x v="74"/>
    <x v="4"/>
    <x v="2"/>
    <x v="154"/>
    <x v="154"/>
    <x v="154"/>
    <x v="153"/>
    <x v="135"/>
    <x v="154"/>
    <x v="154"/>
    <x v="154"/>
    <x v="154"/>
    <x v="154"/>
    <x v="154"/>
    <x v="154"/>
    <x v="1"/>
  </r>
  <r>
    <x v="155"/>
    <x v="18"/>
    <x v="0"/>
    <x v="0"/>
    <x v="155"/>
    <x v="155"/>
    <x v="155"/>
    <x v="154"/>
    <x v="136"/>
    <x v="155"/>
    <x v="155"/>
    <x v="155"/>
    <x v="155"/>
    <x v="155"/>
    <x v="155"/>
    <x v="155"/>
    <x v="6"/>
  </r>
  <r>
    <x v="156"/>
    <x v="39"/>
    <x v="1"/>
    <x v="3"/>
    <x v="156"/>
    <x v="156"/>
    <x v="156"/>
    <x v="155"/>
    <x v="137"/>
    <x v="156"/>
    <x v="156"/>
    <x v="156"/>
    <x v="156"/>
    <x v="156"/>
    <x v="156"/>
    <x v="156"/>
    <x v="0"/>
  </r>
  <r>
    <x v="157"/>
    <x v="54"/>
    <x v="2"/>
    <x v="1"/>
    <x v="157"/>
    <x v="157"/>
    <x v="157"/>
    <x v="156"/>
    <x v="138"/>
    <x v="157"/>
    <x v="157"/>
    <x v="157"/>
    <x v="157"/>
    <x v="157"/>
    <x v="157"/>
    <x v="157"/>
    <x v="4"/>
  </r>
  <r>
    <x v="158"/>
    <x v="96"/>
    <x v="4"/>
    <x v="3"/>
    <x v="158"/>
    <x v="158"/>
    <x v="158"/>
    <x v="157"/>
    <x v="139"/>
    <x v="158"/>
    <x v="158"/>
    <x v="158"/>
    <x v="158"/>
    <x v="158"/>
    <x v="158"/>
    <x v="158"/>
    <x v="2"/>
  </r>
  <r>
    <x v="159"/>
    <x v="103"/>
    <x v="0"/>
    <x v="2"/>
    <x v="159"/>
    <x v="159"/>
    <x v="159"/>
    <x v="158"/>
    <x v="140"/>
    <x v="159"/>
    <x v="159"/>
    <x v="159"/>
    <x v="159"/>
    <x v="159"/>
    <x v="159"/>
    <x v="159"/>
    <x v="0"/>
  </r>
  <r>
    <x v="160"/>
    <x v="104"/>
    <x v="0"/>
    <x v="1"/>
    <x v="160"/>
    <x v="160"/>
    <x v="160"/>
    <x v="159"/>
    <x v="141"/>
    <x v="160"/>
    <x v="160"/>
    <x v="160"/>
    <x v="160"/>
    <x v="160"/>
    <x v="160"/>
    <x v="160"/>
    <x v="0"/>
  </r>
  <r>
    <x v="161"/>
    <x v="105"/>
    <x v="0"/>
    <x v="2"/>
    <x v="161"/>
    <x v="161"/>
    <x v="161"/>
    <x v="160"/>
    <x v="142"/>
    <x v="161"/>
    <x v="161"/>
    <x v="161"/>
    <x v="161"/>
    <x v="161"/>
    <x v="161"/>
    <x v="161"/>
    <x v="3"/>
  </r>
  <r>
    <x v="162"/>
    <x v="106"/>
    <x v="4"/>
    <x v="0"/>
    <x v="162"/>
    <x v="162"/>
    <x v="162"/>
    <x v="161"/>
    <x v="3"/>
    <x v="162"/>
    <x v="162"/>
    <x v="162"/>
    <x v="162"/>
    <x v="162"/>
    <x v="162"/>
    <x v="162"/>
    <x v="3"/>
  </r>
  <r>
    <x v="163"/>
    <x v="60"/>
    <x v="3"/>
    <x v="3"/>
    <x v="163"/>
    <x v="163"/>
    <x v="163"/>
    <x v="162"/>
    <x v="143"/>
    <x v="163"/>
    <x v="163"/>
    <x v="163"/>
    <x v="163"/>
    <x v="163"/>
    <x v="163"/>
    <x v="163"/>
    <x v="4"/>
  </r>
  <r>
    <x v="164"/>
    <x v="46"/>
    <x v="0"/>
    <x v="2"/>
    <x v="164"/>
    <x v="164"/>
    <x v="164"/>
    <x v="163"/>
    <x v="144"/>
    <x v="164"/>
    <x v="164"/>
    <x v="164"/>
    <x v="164"/>
    <x v="164"/>
    <x v="164"/>
    <x v="164"/>
    <x v="1"/>
  </r>
  <r>
    <x v="165"/>
    <x v="79"/>
    <x v="2"/>
    <x v="3"/>
    <x v="165"/>
    <x v="165"/>
    <x v="165"/>
    <x v="164"/>
    <x v="59"/>
    <x v="165"/>
    <x v="165"/>
    <x v="165"/>
    <x v="165"/>
    <x v="165"/>
    <x v="165"/>
    <x v="165"/>
    <x v="4"/>
  </r>
  <r>
    <x v="166"/>
    <x v="75"/>
    <x v="3"/>
    <x v="2"/>
    <x v="166"/>
    <x v="166"/>
    <x v="166"/>
    <x v="165"/>
    <x v="145"/>
    <x v="166"/>
    <x v="166"/>
    <x v="166"/>
    <x v="166"/>
    <x v="166"/>
    <x v="166"/>
    <x v="166"/>
    <x v="3"/>
  </r>
  <r>
    <x v="167"/>
    <x v="44"/>
    <x v="1"/>
    <x v="0"/>
    <x v="167"/>
    <x v="167"/>
    <x v="167"/>
    <x v="166"/>
    <x v="146"/>
    <x v="167"/>
    <x v="167"/>
    <x v="167"/>
    <x v="167"/>
    <x v="167"/>
    <x v="167"/>
    <x v="167"/>
    <x v="0"/>
  </r>
  <r>
    <x v="168"/>
    <x v="88"/>
    <x v="4"/>
    <x v="1"/>
    <x v="168"/>
    <x v="168"/>
    <x v="168"/>
    <x v="167"/>
    <x v="147"/>
    <x v="168"/>
    <x v="168"/>
    <x v="168"/>
    <x v="168"/>
    <x v="168"/>
    <x v="168"/>
    <x v="168"/>
    <x v="2"/>
  </r>
  <r>
    <x v="169"/>
    <x v="64"/>
    <x v="2"/>
    <x v="2"/>
    <x v="169"/>
    <x v="169"/>
    <x v="169"/>
    <x v="168"/>
    <x v="147"/>
    <x v="169"/>
    <x v="169"/>
    <x v="169"/>
    <x v="169"/>
    <x v="169"/>
    <x v="169"/>
    <x v="169"/>
    <x v="5"/>
  </r>
  <r>
    <x v="170"/>
    <x v="95"/>
    <x v="1"/>
    <x v="0"/>
    <x v="170"/>
    <x v="170"/>
    <x v="170"/>
    <x v="169"/>
    <x v="148"/>
    <x v="170"/>
    <x v="170"/>
    <x v="170"/>
    <x v="170"/>
    <x v="170"/>
    <x v="170"/>
    <x v="170"/>
    <x v="6"/>
  </r>
  <r>
    <x v="171"/>
    <x v="65"/>
    <x v="2"/>
    <x v="3"/>
    <x v="171"/>
    <x v="171"/>
    <x v="171"/>
    <x v="170"/>
    <x v="149"/>
    <x v="171"/>
    <x v="171"/>
    <x v="171"/>
    <x v="171"/>
    <x v="171"/>
    <x v="171"/>
    <x v="171"/>
    <x v="4"/>
  </r>
  <r>
    <x v="172"/>
    <x v="107"/>
    <x v="3"/>
    <x v="2"/>
    <x v="172"/>
    <x v="172"/>
    <x v="172"/>
    <x v="171"/>
    <x v="150"/>
    <x v="172"/>
    <x v="172"/>
    <x v="172"/>
    <x v="172"/>
    <x v="172"/>
    <x v="172"/>
    <x v="172"/>
    <x v="0"/>
  </r>
  <r>
    <x v="173"/>
    <x v="108"/>
    <x v="1"/>
    <x v="3"/>
    <x v="173"/>
    <x v="173"/>
    <x v="173"/>
    <x v="172"/>
    <x v="151"/>
    <x v="173"/>
    <x v="173"/>
    <x v="173"/>
    <x v="173"/>
    <x v="173"/>
    <x v="173"/>
    <x v="173"/>
    <x v="4"/>
  </r>
  <r>
    <x v="174"/>
    <x v="109"/>
    <x v="4"/>
    <x v="3"/>
    <x v="174"/>
    <x v="174"/>
    <x v="174"/>
    <x v="173"/>
    <x v="152"/>
    <x v="174"/>
    <x v="174"/>
    <x v="174"/>
    <x v="174"/>
    <x v="174"/>
    <x v="174"/>
    <x v="174"/>
    <x v="5"/>
  </r>
  <r>
    <x v="175"/>
    <x v="110"/>
    <x v="1"/>
    <x v="0"/>
    <x v="175"/>
    <x v="175"/>
    <x v="175"/>
    <x v="174"/>
    <x v="153"/>
    <x v="175"/>
    <x v="175"/>
    <x v="175"/>
    <x v="175"/>
    <x v="175"/>
    <x v="175"/>
    <x v="175"/>
    <x v="0"/>
  </r>
  <r>
    <x v="176"/>
    <x v="21"/>
    <x v="1"/>
    <x v="2"/>
    <x v="176"/>
    <x v="176"/>
    <x v="176"/>
    <x v="175"/>
    <x v="154"/>
    <x v="176"/>
    <x v="176"/>
    <x v="176"/>
    <x v="176"/>
    <x v="176"/>
    <x v="176"/>
    <x v="176"/>
    <x v="2"/>
  </r>
  <r>
    <x v="177"/>
    <x v="27"/>
    <x v="1"/>
    <x v="2"/>
    <x v="177"/>
    <x v="177"/>
    <x v="177"/>
    <x v="176"/>
    <x v="155"/>
    <x v="177"/>
    <x v="177"/>
    <x v="177"/>
    <x v="177"/>
    <x v="177"/>
    <x v="177"/>
    <x v="177"/>
    <x v="2"/>
  </r>
  <r>
    <x v="178"/>
    <x v="13"/>
    <x v="1"/>
    <x v="1"/>
    <x v="178"/>
    <x v="178"/>
    <x v="178"/>
    <x v="177"/>
    <x v="151"/>
    <x v="178"/>
    <x v="178"/>
    <x v="178"/>
    <x v="178"/>
    <x v="178"/>
    <x v="178"/>
    <x v="178"/>
    <x v="5"/>
  </r>
  <r>
    <x v="179"/>
    <x v="108"/>
    <x v="1"/>
    <x v="0"/>
    <x v="179"/>
    <x v="179"/>
    <x v="179"/>
    <x v="178"/>
    <x v="156"/>
    <x v="179"/>
    <x v="179"/>
    <x v="179"/>
    <x v="179"/>
    <x v="179"/>
    <x v="179"/>
    <x v="179"/>
    <x v="4"/>
  </r>
  <r>
    <x v="180"/>
    <x v="111"/>
    <x v="4"/>
    <x v="2"/>
    <x v="180"/>
    <x v="180"/>
    <x v="180"/>
    <x v="179"/>
    <x v="131"/>
    <x v="180"/>
    <x v="180"/>
    <x v="180"/>
    <x v="180"/>
    <x v="180"/>
    <x v="180"/>
    <x v="180"/>
    <x v="4"/>
  </r>
  <r>
    <x v="181"/>
    <x v="90"/>
    <x v="2"/>
    <x v="1"/>
    <x v="181"/>
    <x v="181"/>
    <x v="181"/>
    <x v="180"/>
    <x v="157"/>
    <x v="181"/>
    <x v="181"/>
    <x v="181"/>
    <x v="181"/>
    <x v="181"/>
    <x v="181"/>
    <x v="181"/>
    <x v="4"/>
  </r>
  <r>
    <x v="182"/>
    <x v="112"/>
    <x v="2"/>
    <x v="3"/>
    <x v="182"/>
    <x v="182"/>
    <x v="182"/>
    <x v="181"/>
    <x v="158"/>
    <x v="182"/>
    <x v="182"/>
    <x v="182"/>
    <x v="182"/>
    <x v="182"/>
    <x v="182"/>
    <x v="182"/>
    <x v="4"/>
  </r>
  <r>
    <x v="183"/>
    <x v="113"/>
    <x v="2"/>
    <x v="2"/>
    <x v="183"/>
    <x v="183"/>
    <x v="183"/>
    <x v="182"/>
    <x v="48"/>
    <x v="183"/>
    <x v="183"/>
    <x v="183"/>
    <x v="183"/>
    <x v="183"/>
    <x v="183"/>
    <x v="183"/>
    <x v="1"/>
  </r>
  <r>
    <x v="184"/>
    <x v="114"/>
    <x v="0"/>
    <x v="1"/>
    <x v="184"/>
    <x v="184"/>
    <x v="184"/>
    <x v="183"/>
    <x v="128"/>
    <x v="184"/>
    <x v="184"/>
    <x v="184"/>
    <x v="184"/>
    <x v="184"/>
    <x v="184"/>
    <x v="184"/>
    <x v="2"/>
  </r>
  <r>
    <x v="185"/>
    <x v="115"/>
    <x v="3"/>
    <x v="0"/>
    <x v="185"/>
    <x v="185"/>
    <x v="185"/>
    <x v="184"/>
    <x v="127"/>
    <x v="185"/>
    <x v="185"/>
    <x v="185"/>
    <x v="185"/>
    <x v="185"/>
    <x v="185"/>
    <x v="185"/>
    <x v="3"/>
  </r>
  <r>
    <x v="186"/>
    <x v="33"/>
    <x v="0"/>
    <x v="0"/>
    <x v="186"/>
    <x v="186"/>
    <x v="186"/>
    <x v="185"/>
    <x v="159"/>
    <x v="186"/>
    <x v="186"/>
    <x v="186"/>
    <x v="186"/>
    <x v="186"/>
    <x v="186"/>
    <x v="186"/>
    <x v="2"/>
  </r>
  <r>
    <x v="187"/>
    <x v="15"/>
    <x v="2"/>
    <x v="1"/>
    <x v="187"/>
    <x v="187"/>
    <x v="187"/>
    <x v="186"/>
    <x v="93"/>
    <x v="187"/>
    <x v="187"/>
    <x v="187"/>
    <x v="187"/>
    <x v="187"/>
    <x v="187"/>
    <x v="187"/>
    <x v="3"/>
  </r>
  <r>
    <x v="188"/>
    <x v="116"/>
    <x v="0"/>
    <x v="3"/>
    <x v="188"/>
    <x v="188"/>
    <x v="188"/>
    <x v="187"/>
    <x v="147"/>
    <x v="188"/>
    <x v="188"/>
    <x v="188"/>
    <x v="188"/>
    <x v="188"/>
    <x v="188"/>
    <x v="188"/>
    <x v="5"/>
  </r>
  <r>
    <x v="189"/>
    <x v="117"/>
    <x v="1"/>
    <x v="2"/>
    <x v="189"/>
    <x v="189"/>
    <x v="189"/>
    <x v="188"/>
    <x v="160"/>
    <x v="189"/>
    <x v="189"/>
    <x v="189"/>
    <x v="189"/>
    <x v="189"/>
    <x v="189"/>
    <x v="189"/>
    <x v="0"/>
  </r>
  <r>
    <x v="190"/>
    <x v="22"/>
    <x v="3"/>
    <x v="0"/>
    <x v="190"/>
    <x v="190"/>
    <x v="190"/>
    <x v="189"/>
    <x v="138"/>
    <x v="190"/>
    <x v="190"/>
    <x v="190"/>
    <x v="190"/>
    <x v="190"/>
    <x v="190"/>
    <x v="190"/>
    <x v="4"/>
  </r>
  <r>
    <x v="191"/>
    <x v="85"/>
    <x v="1"/>
    <x v="3"/>
    <x v="191"/>
    <x v="191"/>
    <x v="191"/>
    <x v="13"/>
    <x v="47"/>
    <x v="191"/>
    <x v="191"/>
    <x v="191"/>
    <x v="191"/>
    <x v="191"/>
    <x v="191"/>
    <x v="191"/>
    <x v="1"/>
  </r>
  <r>
    <x v="192"/>
    <x v="52"/>
    <x v="2"/>
    <x v="3"/>
    <x v="192"/>
    <x v="192"/>
    <x v="192"/>
    <x v="190"/>
    <x v="161"/>
    <x v="192"/>
    <x v="192"/>
    <x v="192"/>
    <x v="192"/>
    <x v="192"/>
    <x v="192"/>
    <x v="192"/>
    <x v="3"/>
  </r>
  <r>
    <x v="193"/>
    <x v="118"/>
    <x v="4"/>
    <x v="1"/>
    <x v="193"/>
    <x v="193"/>
    <x v="193"/>
    <x v="191"/>
    <x v="162"/>
    <x v="193"/>
    <x v="193"/>
    <x v="193"/>
    <x v="193"/>
    <x v="193"/>
    <x v="193"/>
    <x v="193"/>
    <x v="5"/>
  </r>
  <r>
    <x v="194"/>
    <x v="119"/>
    <x v="1"/>
    <x v="3"/>
    <x v="194"/>
    <x v="194"/>
    <x v="194"/>
    <x v="192"/>
    <x v="72"/>
    <x v="194"/>
    <x v="194"/>
    <x v="194"/>
    <x v="194"/>
    <x v="194"/>
    <x v="194"/>
    <x v="194"/>
    <x v="6"/>
  </r>
  <r>
    <x v="195"/>
    <x v="120"/>
    <x v="3"/>
    <x v="3"/>
    <x v="195"/>
    <x v="195"/>
    <x v="195"/>
    <x v="193"/>
    <x v="163"/>
    <x v="195"/>
    <x v="195"/>
    <x v="195"/>
    <x v="195"/>
    <x v="195"/>
    <x v="195"/>
    <x v="195"/>
    <x v="2"/>
  </r>
  <r>
    <x v="196"/>
    <x v="87"/>
    <x v="0"/>
    <x v="2"/>
    <x v="196"/>
    <x v="196"/>
    <x v="196"/>
    <x v="194"/>
    <x v="157"/>
    <x v="196"/>
    <x v="196"/>
    <x v="196"/>
    <x v="196"/>
    <x v="196"/>
    <x v="196"/>
    <x v="196"/>
    <x v="1"/>
  </r>
  <r>
    <x v="197"/>
    <x v="121"/>
    <x v="3"/>
    <x v="3"/>
    <x v="197"/>
    <x v="197"/>
    <x v="197"/>
    <x v="195"/>
    <x v="164"/>
    <x v="197"/>
    <x v="197"/>
    <x v="197"/>
    <x v="197"/>
    <x v="197"/>
    <x v="197"/>
    <x v="197"/>
    <x v="5"/>
  </r>
  <r>
    <x v="198"/>
    <x v="42"/>
    <x v="2"/>
    <x v="2"/>
    <x v="198"/>
    <x v="198"/>
    <x v="198"/>
    <x v="196"/>
    <x v="165"/>
    <x v="198"/>
    <x v="198"/>
    <x v="198"/>
    <x v="198"/>
    <x v="198"/>
    <x v="198"/>
    <x v="198"/>
    <x v="3"/>
  </r>
  <r>
    <x v="199"/>
    <x v="122"/>
    <x v="4"/>
    <x v="1"/>
    <x v="199"/>
    <x v="199"/>
    <x v="199"/>
    <x v="197"/>
    <x v="166"/>
    <x v="199"/>
    <x v="199"/>
    <x v="199"/>
    <x v="199"/>
    <x v="199"/>
    <x v="199"/>
    <x v="199"/>
    <x v="2"/>
  </r>
  <r>
    <x v="200"/>
    <x v="3"/>
    <x v="3"/>
    <x v="1"/>
    <x v="200"/>
    <x v="200"/>
    <x v="200"/>
    <x v="198"/>
    <x v="167"/>
    <x v="200"/>
    <x v="200"/>
    <x v="200"/>
    <x v="200"/>
    <x v="200"/>
    <x v="200"/>
    <x v="200"/>
    <x v="0"/>
  </r>
  <r>
    <x v="201"/>
    <x v="95"/>
    <x v="2"/>
    <x v="1"/>
    <x v="201"/>
    <x v="201"/>
    <x v="201"/>
    <x v="199"/>
    <x v="139"/>
    <x v="201"/>
    <x v="201"/>
    <x v="201"/>
    <x v="201"/>
    <x v="201"/>
    <x v="201"/>
    <x v="201"/>
    <x v="6"/>
  </r>
  <r>
    <x v="202"/>
    <x v="123"/>
    <x v="0"/>
    <x v="0"/>
    <x v="202"/>
    <x v="202"/>
    <x v="202"/>
    <x v="200"/>
    <x v="139"/>
    <x v="202"/>
    <x v="202"/>
    <x v="202"/>
    <x v="202"/>
    <x v="202"/>
    <x v="202"/>
    <x v="202"/>
    <x v="5"/>
  </r>
  <r>
    <x v="203"/>
    <x v="0"/>
    <x v="2"/>
    <x v="3"/>
    <x v="203"/>
    <x v="203"/>
    <x v="203"/>
    <x v="201"/>
    <x v="168"/>
    <x v="203"/>
    <x v="203"/>
    <x v="203"/>
    <x v="203"/>
    <x v="203"/>
    <x v="203"/>
    <x v="203"/>
    <x v="0"/>
  </r>
  <r>
    <x v="204"/>
    <x v="90"/>
    <x v="0"/>
    <x v="1"/>
    <x v="204"/>
    <x v="204"/>
    <x v="204"/>
    <x v="202"/>
    <x v="169"/>
    <x v="204"/>
    <x v="204"/>
    <x v="204"/>
    <x v="204"/>
    <x v="204"/>
    <x v="204"/>
    <x v="204"/>
    <x v="4"/>
  </r>
  <r>
    <x v="205"/>
    <x v="96"/>
    <x v="4"/>
    <x v="1"/>
    <x v="205"/>
    <x v="205"/>
    <x v="205"/>
    <x v="203"/>
    <x v="170"/>
    <x v="205"/>
    <x v="205"/>
    <x v="205"/>
    <x v="205"/>
    <x v="205"/>
    <x v="205"/>
    <x v="205"/>
    <x v="2"/>
  </r>
  <r>
    <x v="206"/>
    <x v="51"/>
    <x v="2"/>
    <x v="3"/>
    <x v="206"/>
    <x v="206"/>
    <x v="206"/>
    <x v="204"/>
    <x v="171"/>
    <x v="206"/>
    <x v="206"/>
    <x v="206"/>
    <x v="206"/>
    <x v="206"/>
    <x v="206"/>
    <x v="206"/>
    <x v="2"/>
  </r>
  <r>
    <x v="207"/>
    <x v="124"/>
    <x v="4"/>
    <x v="1"/>
    <x v="207"/>
    <x v="207"/>
    <x v="207"/>
    <x v="205"/>
    <x v="172"/>
    <x v="207"/>
    <x v="207"/>
    <x v="207"/>
    <x v="207"/>
    <x v="207"/>
    <x v="207"/>
    <x v="207"/>
    <x v="0"/>
  </r>
  <r>
    <x v="208"/>
    <x v="28"/>
    <x v="3"/>
    <x v="1"/>
    <x v="208"/>
    <x v="208"/>
    <x v="208"/>
    <x v="206"/>
    <x v="173"/>
    <x v="208"/>
    <x v="208"/>
    <x v="208"/>
    <x v="208"/>
    <x v="208"/>
    <x v="208"/>
    <x v="208"/>
    <x v="0"/>
  </r>
  <r>
    <x v="209"/>
    <x v="109"/>
    <x v="3"/>
    <x v="3"/>
    <x v="209"/>
    <x v="209"/>
    <x v="209"/>
    <x v="207"/>
    <x v="98"/>
    <x v="209"/>
    <x v="209"/>
    <x v="209"/>
    <x v="209"/>
    <x v="209"/>
    <x v="209"/>
    <x v="209"/>
    <x v="5"/>
  </r>
  <r>
    <x v="210"/>
    <x v="6"/>
    <x v="3"/>
    <x v="1"/>
    <x v="210"/>
    <x v="210"/>
    <x v="210"/>
    <x v="208"/>
    <x v="174"/>
    <x v="210"/>
    <x v="210"/>
    <x v="210"/>
    <x v="210"/>
    <x v="210"/>
    <x v="210"/>
    <x v="210"/>
    <x v="3"/>
  </r>
  <r>
    <x v="211"/>
    <x v="100"/>
    <x v="4"/>
    <x v="0"/>
    <x v="211"/>
    <x v="211"/>
    <x v="211"/>
    <x v="209"/>
    <x v="175"/>
    <x v="211"/>
    <x v="211"/>
    <x v="211"/>
    <x v="211"/>
    <x v="211"/>
    <x v="211"/>
    <x v="211"/>
    <x v="0"/>
  </r>
  <r>
    <x v="212"/>
    <x v="88"/>
    <x v="4"/>
    <x v="3"/>
    <x v="212"/>
    <x v="212"/>
    <x v="212"/>
    <x v="210"/>
    <x v="176"/>
    <x v="212"/>
    <x v="212"/>
    <x v="212"/>
    <x v="212"/>
    <x v="212"/>
    <x v="212"/>
    <x v="212"/>
    <x v="2"/>
  </r>
  <r>
    <x v="213"/>
    <x v="125"/>
    <x v="3"/>
    <x v="2"/>
    <x v="213"/>
    <x v="213"/>
    <x v="213"/>
    <x v="211"/>
    <x v="177"/>
    <x v="213"/>
    <x v="213"/>
    <x v="213"/>
    <x v="213"/>
    <x v="213"/>
    <x v="213"/>
    <x v="213"/>
    <x v="1"/>
  </r>
  <r>
    <x v="214"/>
    <x v="64"/>
    <x v="0"/>
    <x v="0"/>
    <x v="214"/>
    <x v="214"/>
    <x v="214"/>
    <x v="212"/>
    <x v="7"/>
    <x v="214"/>
    <x v="214"/>
    <x v="214"/>
    <x v="214"/>
    <x v="214"/>
    <x v="214"/>
    <x v="214"/>
    <x v="5"/>
  </r>
  <r>
    <x v="215"/>
    <x v="98"/>
    <x v="0"/>
    <x v="0"/>
    <x v="215"/>
    <x v="215"/>
    <x v="215"/>
    <x v="213"/>
    <x v="178"/>
    <x v="215"/>
    <x v="215"/>
    <x v="215"/>
    <x v="215"/>
    <x v="215"/>
    <x v="215"/>
    <x v="215"/>
    <x v="2"/>
  </r>
  <r>
    <x v="216"/>
    <x v="126"/>
    <x v="4"/>
    <x v="2"/>
    <x v="216"/>
    <x v="216"/>
    <x v="216"/>
    <x v="214"/>
    <x v="179"/>
    <x v="216"/>
    <x v="216"/>
    <x v="216"/>
    <x v="216"/>
    <x v="216"/>
    <x v="216"/>
    <x v="216"/>
    <x v="5"/>
  </r>
  <r>
    <x v="217"/>
    <x v="127"/>
    <x v="2"/>
    <x v="3"/>
    <x v="217"/>
    <x v="217"/>
    <x v="217"/>
    <x v="215"/>
    <x v="180"/>
    <x v="217"/>
    <x v="217"/>
    <x v="217"/>
    <x v="217"/>
    <x v="217"/>
    <x v="217"/>
    <x v="217"/>
    <x v="4"/>
  </r>
  <r>
    <x v="218"/>
    <x v="45"/>
    <x v="4"/>
    <x v="0"/>
    <x v="218"/>
    <x v="218"/>
    <x v="218"/>
    <x v="216"/>
    <x v="181"/>
    <x v="218"/>
    <x v="218"/>
    <x v="218"/>
    <x v="218"/>
    <x v="218"/>
    <x v="218"/>
    <x v="218"/>
    <x v="3"/>
  </r>
  <r>
    <x v="219"/>
    <x v="128"/>
    <x v="4"/>
    <x v="0"/>
    <x v="219"/>
    <x v="219"/>
    <x v="219"/>
    <x v="217"/>
    <x v="182"/>
    <x v="219"/>
    <x v="219"/>
    <x v="219"/>
    <x v="219"/>
    <x v="219"/>
    <x v="219"/>
    <x v="219"/>
    <x v="4"/>
  </r>
  <r>
    <x v="220"/>
    <x v="9"/>
    <x v="3"/>
    <x v="1"/>
    <x v="220"/>
    <x v="220"/>
    <x v="220"/>
    <x v="218"/>
    <x v="122"/>
    <x v="220"/>
    <x v="220"/>
    <x v="220"/>
    <x v="220"/>
    <x v="220"/>
    <x v="220"/>
    <x v="220"/>
    <x v="3"/>
  </r>
  <r>
    <x v="221"/>
    <x v="110"/>
    <x v="4"/>
    <x v="1"/>
    <x v="221"/>
    <x v="221"/>
    <x v="221"/>
    <x v="219"/>
    <x v="183"/>
    <x v="221"/>
    <x v="221"/>
    <x v="221"/>
    <x v="221"/>
    <x v="221"/>
    <x v="221"/>
    <x v="221"/>
    <x v="0"/>
  </r>
  <r>
    <x v="222"/>
    <x v="129"/>
    <x v="4"/>
    <x v="0"/>
    <x v="222"/>
    <x v="222"/>
    <x v="222"/>
    <x v="220"/>
    <x v="184"/>
    <x v="222"/>
    <x v="222"/>
    <x v="222"/>
    <x v="222"/>
    <x v="222"/>
    <x v="222"/>
    <x v="222"/>
    <x v="1"/>
  </r>
  <r>
    <x v="223"/>
    <x v="2"/>
    <x v="1"/>
    <x v="1"/>
    <x v="223"/>
    <x v="223"/>
    <x v="223"/>
    <x v="221"/>
    <x v="185"/>
    <x v="223"/>
    <x v="223"/>
    <x v="223"/>
    <x v="223"/>
    <x v="223"/>
    <x v="223"/>
    <x v="223"/>
    <x v="2"/>
  </r>
  <r>
    <x v="224"/>
    <x v="44"/>
    <x v="0"/>
    <x v="3"/>
    <x v="224"/>
    <x v="224"/>
    <x v="224"/>
    <x v="222"/>
    <x v="186"/>
    <x v="224"/>
    <x v="224"/>
    <x v="224"/>
    <x v="224"/>
    <x v="224"/>
    <x v="224"/>
    <x v="224"/>
    <x v="0"/>
  </r>
  <r>
    <x v="225"/>
    <x v="116"/>
    <x v="2"/>
    <x v="3"/>
    <x v="225"/>
    <x v="225"/>
    <x v="225"/>
    <x v="223"/>
    <x v="187"/>
    <x v="225"/>
    <x v="225"/>
    <x v="225"/>
    <x v="225"/>
    <x v="225"/>
    <x v="225"/>
    <x v="225"/>
    <x v="5"/>
  </r>
  <r>
    <x v="226"/>
    <x v="76"/>
    <x v="3"/>
    <x v="2"/>
    <x v="226"/>
    <x v="226"/>
    <x v="226"/>
    <x v="224"/>
    <x v="42"/>
    <x v="226"/>
    <x v="226"/>
    <x v="226"/>
    <x v="226"/>
    <x v="226"/>
    <x v="226"/>
    <x v="226"/>
    <x v="4"/>
  </r>
  <r>
    <x v="227"/>
    <x v="22"/>
    <x v="3"/>
    <x v="0"/>
    <x v="227"/>
    <x v="227"/>
    <x v="227"/>
    <x v="225"/>
    <x v="11"/>
    <x v="227"/>
    <x v="227"/>
    <x v="227"/>
    <x v="227"/>
    <x v="227"/>
    <x v="227"/>
    <x v="227"/>
    <x v="4"/>
  </r>
  <r>
    <x v="228"/>
    <x v="53"/>
    <x v="0"/>
    <x v="0"/>
    <x v="228"/>
    <x v="228"/>
    <x v="228"/>
    <x v="226"/>
    <x v="188"/>
    <x v="228"/>
    <x v="228"/>
    <x v="228"/>
    <x v="228"/>
    <x v="228"/>
    <x v="228"/>
    <x v="228"/>
    <x v="5"/>
  </r>
  <r>
    <x v="229"/>
    <x v="130"/>
    <x v="2"/>
    <x v="1"/>
    <x v="229"/>
    <x v="229"/>
    <x v="229"/>
    <x v="227"/>
    <x v="189"/>
    <x v="229"/>
    <x v="229"/>
    <x v="229"/>
    <x v="229"/>
    <x v="229"/>
    <x v="229"/>
    <x v="229"/>
    <x v="0"/>
  </r>
  <r>
    <x v="230"/>
    <x v="78"/>
    <x v="2"/>
    <x v="2"/>
    <x v="230"/>
    <x v="230"/>
    <x v="230"/>
    <x v="228"/>
    <x v="86"/>
    <x v="230"/>
    <x v="230"/>
    <x v="230"/>
    <x v="230"/>
    <x v="230"/>
    <x v="230"/>
    <x v="230"/>
    <x v="2"/>
  </r>
  <r>
    <x v="231"/>
    <x v="56"/>
    <x v="0"/>
    <x v="3"/>
    <x v="231"/>
    <x v="231"/>
    <x v="231"/>
    <x v="229"/>
    <x v="190"/>
    <x v="231"/>
    <x v="231"/>
    <x v="231"/>
    <x v="231"/>
    <x v="231"/>
    <x v="231"/>
    <x v="231"/>
    <x v="3"/>
  </r>
  <r>
    <x v="232"/>
    <x v="124"/>
    <x v="3"/>
    <x v="1"/>
    <x v="232"/>
    <x v="232"/>
    <x v="232"/>
    <x v="230"/>
    <x v="191"/>
    <x v="232"/>
    <x v="232"/>
    <x v="232"/>
    <x v="232"/>
    <x v="232"/>
    <x v="232"/>
    <x v="232"/>
    <x v="0"/>
  </r>
  <r>
    <x v="233"/>
    <x v="98"/>
    <x v="0"/>
    <x v="3"/>
    <x v="233"/>
    <x v="233"/>
    <x v="233"/>
    <x v="231"/>
    <x v="192"/>
    <x v="233"/>
    <x v="233"/>
    <x v="233"/>
    <x v="233"/>
    <x v="233"/>
    <x v="233"/>
    <x v="233"/>
    <x v="2"/>
  </r>
  <r>
    <x v="234"/>
    <x v="131"/>
    <x v="4"/>
    <x v="0"/>
    <x v="234"/>
    <x v="234"/>
    <x v="234"/>
    <x v="232"/>
    <x v="53"/>
    <x v="234"/>
    <x v="234"/>
    <x v="234"/>
    <x v="234"/>
    <x v="234"/>
    <x v="234"/>
    <x v="234"/>
    <x v="2"/>
  </r>
  <r>
    <x v="235"/>
    <x v="112"/>
    <x v="2"/>
    <x v="2"/>
    <x v="235"/>
    <x v="235"/>
    <x v="235"/>
    <x v="233"/>
    <x v="193"/>
    <x v="235"/>
    <x v="235"/>
    <x v="235"/>
    <x v="235"/>
    <x v="235"/>
    <x v="235"/>
    <x v="235"/>
    <x v="4"/>
  </r>
  <r>
    <x v="236"/>
    <x v="132"/>
    <x v="4"/>
    <x v="2"/>
    <x v="236"/>
    <x v="236"/>
    <x v="236"/>
    <x v="234"/>
    <x v="194"/>
    <x v="236"/>
    <x v="236"/>
    <x v="236"/>
    <x v="236"/>
    <x v="236"/>
    <x v="236"/>
    <x v="236"/>
    <x v="3"/>
  </r>
  <r>
    <x v="237"/>
    <x v="87"/>
    <x v="2"/>
    <x v="2"/>
    <x v="237"/>
    <x v="237"/>
    <x v="237"/>
    <x v="235"/>
    <x v="195"/>
    <x v="237"/>
    <x v="237"/>
    <x v="237"/>
    <x v="237"/>
    <x v="237"/>
    <x v="237"/>
    <x v="237"/>
    <x v="1"/>
  </r>
  <r>
    <x v="238"/>
    <x v="133"/>
    <x v="4"/>
    <x v="1"/>
    <x v="238"/>
    <x v="238"/>
    <x v="238"/>
    <x v="236"/>
    <x v="196"/>
    <x v="238"/>
    <x v="238"/>
    <x v="238"/>
    <x v="238"/>
    <x v="238"/>
    <x v="238"/>
    <x v="238"/>
    <x v="3"/>
  </r>
  <r>
    <x v="239"/>
    <x v="38"/>
    <x v="4"/>
    <x v="2"/>
    <x v="239"/>
    <x v="239"/>
    <x v="239"/>
    <x v="237"/>
    <x v="98"/>
    <x v="239"/>
    <x v="239"/>
    <x v="239"/>
    <x v="239"/>
    <x v="239"/>
    <x v="239"/>
    <x v="239"/>
    <x v="2"/>
  </r>
  <r>
    <x v="240"/>
    <x v="134"/>
    <x v="4"/>
    <x v="3"/>
    <x v="240"/>
    <x v="240"/>
    <x v="240"/>
    <x v="238"/>
    <x v="197"/>
    <x v="240"/>
    <x v="240"/>
    <x v="240"/>
    <x v="240"/>
    <x v="240"/>
    <x v="240"/>
    <x v="240"/>
    <x v="1"/>
  </r>
  <r>
    <x v="241"/>
    <x v="135"/>
    <x v="2"/>
    <x v="1"/>
    <x v="241"/>
    <x v="241"/>
    <x v="241"/>
    <x v="239"/>
    <x v="198"/>
    <x v="241"/>
    <x v="241"/>
    <x v="241"/>
    <x v="241"/>
    <x v="241"/>
    <x v="241"/>
    <x v="241"/>
    <x v="0"/>
  </r>
  <r>
    <x v="242"/>
    <x v="14"/>
    <x v="3"/>
    <x v="1"/>
    <x v="242"/>
    <x v="242"/>
    <x v="242"/>
    <x v="112"/>
    <x v="88"/>
    <x v="242"/>
    <x v="242"/>
    <x v="242"/>
    <x v="242"/>
    <x v="242"/>
    <x v="242"/>
    <x v="242"/>
    <x v="4"/>
  </r>
  <r>
    <x v="243"/>
    <x v="105"/>
    <x v="1"/>
    <x v="1"/>
    <x v="243"/>
    <x v="243"/>
    <x v="243"/>
    <x v="240"/>
    <x v="199"/>
    <x v="243"/>
    <x v="243"/>
    <x v="243"/>
    <x v="243"/>
    <x v="243"/>
    <x v="243"/>
    <x v="243"/>
    <x v="3"/>
  </r>
  <r>
    <x v="244"/>
    <x v="51"/>
    <x v="0"/>
    <x v="2"/>
    <x v="244"/>
    <x v="244"/>
    <x v="244"/>
    <x v="241"/>
    <x v="200"/>
    <x v="244"/>
    <x v="244"/>
    <x v="244"/>
    <x v="244"/>
    <x v="244"/>
    <x v="244"/>
    <x v="244"/>
    <x v="2"/>
  </r>
  <r>
    <x v="245"/>
    <x v="32"/>
    <x v="0"/>
    <x v="3"/>
    <x v="245"/>
    <x v="245"/>
    <x v="245"/>
    <x v="242"/>
    <x v="201"/>
    <x v="245"/>
    <x v="245"/>
    <x v="245"/>
    <x v="245"/>
    <x v="245"/>
    <x v="245"/>
    <x v="245"/>
    <x v="4"/>
  </r>
  <r>
    <x v="246"/>
    <x v="136"/>
    <x v="1"/>
    <x v="0"/>
    <x v="246"/>
    <x v="246"/>
    <x v="246"/>
    <x v="243"/>
    <x v="202"/>
    <x v="246"/>
    <x v="246"/>
    <x v="246"/>
    <x v="246"/>
    <x v="246"/>
    <x v="246"/>
    <x v="246"/>
    <x v="5"/>
  </r>
  <r>
    <x v="247"/>
    <x v="132"/>
    <x v="0"/>
    <x v="1"/>
    <x v="247"/>
    <x v="247"/>
    <x v="247"/>
    <x v="244"/>
    <x v="203"/>
    <x v="247"/>
    <x v="247"/>
    <x v="247"/>
    <x v="247"/>
    <x v="247"/>
    <x v="247"/>
    <x v="247"/>
    <x v="3"/>
  </r>
  <r>
    <x v="248"/>
    <x v="137"/>
    <x v="1"/>
    <x v="3"/>
    <x v="248"/>
    <x v="248"/>
    <x v="248"/>
    <x v="245"/>
    <x v="204"/>
    <x v="248"/>
    <x v="248"/>
    <x v="248"/>
    <x v="248"/>
    <x v="248"/>
    <x v="248"/>
    <x v="248"/>
    <x v="2"/>
  </r>
  <r>
    <x v="249"/>
    <x v="81"/>
    <x v="0"/>
    <x v="1"/>
    <x v="249"/>
    <x v="249"/>
    <x v="249"/>
    <x v="246"/>
    <x v="205"/>
    <x v="249"/>
    <x v="249"/>
    <x v="249"/>
    <x v="249"/>
    <x v="249"/>
    <x v="249"/>
    <x v="249"/>
    <x v="5"/>
  </r>
  <r>
    <x v="250"/>
    <x v="62"/>
    <x v="0"/>
    <x v="0"/>
    <x v="250"/>
    <x v="250"/>
    <x v="250"/>
    <x v="247"/>
    <x v="152"/>
    <x v="250"/>
    <x v="250"/>
    <x v="250"/>
    <x v="250"/>
    <x v="250"/>
    <x v="250"/>
    <x v="250"/>
    <x v="4"/>
  </r>
  <r>
    <x v="251"/>
    <x v="138"/>
    <x v="2"/>
    <x v="2"/>
    <x v="251"/>
    <x v="251"/>
    <x v="251"/>
    <x v="248"/>
    <x v="206"/>
    <x v="251"/>
    <x v="251"/>
    <x v="251"/>
    <x v="251"/>
    <x v="251"/>
    <x v="251"/>
    <x v="251"/>
    <x v="4"/>
  </r>
  <r>
    <x v="252"/>
    <x v="139"/>
    <x v="0"/>
    <x v="1"/>
    <x v="252"/>
    <x v="252"/>
    <x v="252"/>
    <x v="249"/>
    <x v="207"/>
    <x v="252"/>
    <x v="252"/>
    <x v="252"/>
    <x v="252"/>
    <x v="252"/>
    <x v="252"/>
    <x v="252"/>
    <x v="5"/>
  </r>
  <r>
    <x v="253"/>
    <x v="54"/>
    <x v="2"/>
    <x v="2"/>
    <x v="253"/>
    <x v="253"/>
    <x v="253"/>
    <x v="250"/>
    <x v="189"/>
    <x v="253"/>
    <x v="253"/>
    <x v="253"/>
    <x v="253"/>
    <x v="253"/>
    <x v="253"/>
    <x v="253"/>
    <x v="4"/>
  </r>
  <r>
    <x v="254"/>
    <x v="56"/>
    <x v="3"/>
    <x v="3"/>
    <x v="254"/>
    <x v="254"/>
    <x v="254"/>
    <x v="251"/>
    <x v="208"/>
    <x v="254"/>
    <x v="254"/>
    <x v="254"/>
    <x v="254"/>
    <x v="254"/>
    <x v="254"/>
    <x v="254"/>
    <x v="3"/>
  </r>
  <r>
    <x v="255"/>
    <x v="109"/>
    <x v="4"/>
    <x v="1"/>
    <x v="255"/>
    <x v="255"/>
    <x v="255"/>
    <x v="252"/>
    <x v="209"/>
    <x v="255"/>
    <x v="255"/>
    <x v="255"/>
    <x v="255"/>
    <x v="255"/>
    <x v="255"/>
    <x v="255"/>
    <x v="5"/>
  </r>
  <r>
    <x v="256"/>
    <x v="140"/>
    <x v="4"/>
    <x v="1"/>
    <x v="256"/>
    <x v="256"/>
    <x v="256"/>
    <x v="253"/>
    <x v="210"/>
    <x v="256"/>
    <x v="256"/>
    <x v="256"/>
    <x v="256"/>
    <x v="256"/>
    <x v="256"/>
    <x v="256"/>
    <x v="4"/>
  </r>
  <r>
    <x v="257"/>
    <x v="51"/>
    <x v="2"/>
    <x v="2"/>
    <x v="257"/>
    <x v="257"/>
    <x v="257"/>
    <x v="254"/>
    <x v="142"/>
    <x v="257"/>
    <x v="257"/>
    <x v="257"/>
    <x v="257"/>
    <x v="257"/>
    <x v="257"/>
    <x v="257"/>
    <x v="2"/>
  </r>
  <r>
    <x v="258"/>
    <x v="78"/>
    <x v="2"/>
    <x v="2"/>
    <x v="258"/>
    <x v="258"/>
    <x v="258"/>
    <x v="255"/>
    <x v="211"/>
    <x v="258"/>
    <x v="258"/>
    <x v="258"/>
    <x v="258"/>
    <x v="258"/>
    <x v="258"/>
    <x v="258"/>
    <x v="2"/>
  </r>
  <r>
    <x v="259"/>
    <x v="24"/>
    <x v="1"/>
    <x v="3"/>
    <x v="259"/>
    <x v="259"/>
    <x v="259"/>
    <x v="256"/>
    <x v="212"/>
    <x v="259"/>
    <x v="259"/>
    <x v="259"/>
    <x v="259"/>
    <x v="259"/>
    <x v="259"/>
    <x v="259"/>
    <x v="3"/>
  </r>
  <r>
    <x v="260"/>
    <x v="16"/>
    <x v="2"/>
    <x v="1"/>
    <x v="260"/>
    <x v="260"/>
    <x v="260"/>
    <x v="257"/>
    <x v="213"/>
    <x v="260"/>
    <x v="260"/>
    <x v="260"/>
    <x v="260"/>
    <x v="260"/>
    <x v="260"/>
    <x v="260"/>
    <x v="0"/>
  </r>
  <r>
    <x v="261"/>
    <x v="114"/>
    <x v="0"/>
    <x v="3"/>
    <x v="261"/>
    <x v="261"/>
    <x v="261"/>
    <x v="258"/>
    <x v="176"/>
    <x v="261"/>
    <x v="261"/>
    <x v="261"/>
    <x v="261"/>
    <x v="261"/>
    <x v="261"/>
    <x v="261"/>
    <x v="2"/>
  </r>
  <r>
    <x v="262"/>
    <x v="112"/>
    <x v="4"/>
    <x v="2"/>
    <x v="262"/>
    <x v="262"/>
    <x v="262"/>
    <x v="259"/>
    <x v="6"/>
    <x v="262"/>
    <x v="262"/>
    <x v="262"/>
    <x v="262"/>
    <x v="262"/>
    <x v="262"/>
    <x v="262"/>
    <x v="4"/>
  </r>
  <r>
    <x v="263"/>
    <x v="61"/>
    <x v="1"/>
    <x v="0"/>
    <x v="263"/>
    <x v="263"/>
    <x v="263"/>
    <x v="260"/>
    <x v="214"/>
    <x v="263"/>
    <x v="263"/>
    <x v="263"/>
    <x v="263"/>
    <x v="263"/>
    <x v="263"/>
    <x v="263"/>
    <x v="3"/>
  </r>
  <r>
    <x v="264"/>
    <x v="40"/>
    <x v="1"/>
    <x v="3"/>
    <x v="264"/>
    <x v="264"/>
    <x v="264"/>
    <x v="261"/>
    <x v="215"/>
    <x v="264"/>
    <x v="264"/>
    <x v="264"/>
    <x v="264"/>
    <x v="264"/>
    <x v="264"/>
    <x v="264"/>
    <x v="0"/>
  </r>
  <r>
    <x v="265"/>
    <x v="35"/>
    <x v="3"/>
    <x v="2"/>
    <x v="265"/>
    <x v="265"/>
    <x v="265"/>
    <x v="262"/>
    <x v="216"/>
    <x v="265"/>
    <x v="265"/>
    <x v="265"/>
    <x v="265"/>
    <x v="265"/>
    <x v="265"/>
    <x v="265"/>
    <x v="2"/>
  </r>
  <r>
    <x v="266"/>
    <x v="141"/>
    <x v="0"/>
    <x v="2"/>
    <x v="266"/>
    <x v="266"/>
    <x v="266"/>
    <x v="263"/>
    <x v="175"/>
    <x v="266"/>
    <x v="266"/>
    <x v="266"/>
    <x v="266"/>
    <x v="266"/>
    <x v="266"/>
    <x v="266"/>
    <x v="0"/>
  </r>
  <r>
    <x v="267"/>
    <x v="65"/>
    <x v="0"/>
    <x v="0"/>
    <x v="267"/>
    <x v="267"/>
    <x v="267"/>
    <x v="264"/>
    <x v="217"/>
    <x v="267"/>
    <x v="267"/>
    <x v="267"/>
    <x v="267"/>
    <x v="267"/>
    <x v="267"/>
    <x v="267"/>
    <x v="4"/>
  </r>
  <r>
    <x v="268"/>
    <x v="120"/>
    <x v="4"/>
    <x v="0"/>
    <x v="268"/>
    <x v="268"/>
    <x v="268"/>
    <x v="265"/>
    <x v="218"/>
    <x v="268"/>
    <x v="268"/>
    <x v="268"/>
    <x v="268"/>
    <x v="268"/>
    <x v="268"/>
    <x v="268"/>
    <x v="2"/>
  </r>
  <r>
    <x v="269"/>
    <x v="29"/>
    <x v="3"/>
    <x v="0"/>
    <x v="269"/>
    <x v="269"/>
    <x v="269"/>
    <x v="266"/>
    <x v="142"/>
    <x v="269"/>
    <x v="269"/>
    <x v="269"/>
    <x v="269"/>
    <x v="269"/>
    <x v="269"/>
    <x v="269"/>
    <x v="4"/>
  </r>
  <r>
    <x v="270"/>
    <x v="119"/>
    <x v="2"/>
    <x v="0"/>
    <x v="270"/>
    <x v="270"/>
    <x v="270"/>
    <x v="267"/>
    <x v="219"/>
    <x v="270"/>
    <x v="270"/>
    <x v="270"/>
    <x v="270"/>
    <x v="270"/>
    <x v="270"/>
    <x v="270"/>
    <x v="6"/>
  </r>
  <r>
    <x v="271"/>
    <x v="142"/>
    <x v="2"/>
    <x v="3"/>
    <x v="271"/>
    <x v="271"/>
    <x v="271"/>
    <x v="268"/>
    <x v="220"/>
    <x v="271"/>
    <x v="271"/>
    <x v="271"/>
    <x v="271"/>
    <x v="271"/>
    <x v="271"/>
    <x v="271"/>
    <x v="5"/>
  </r>
  <r>
    <x v="272"/>
    <x v="27"/>
    <x v="3"/>
    <x v="2"/>
    <x v="272"/>
    <x v="272"/>
    <x v="272"/>
    <x v="269"/>
    <x v="221"/>
    <x v="272"/>
    <x v="272"/>
    <x v="272"/>
    <x v="272"/>
    <x v="272"/>
    <x v="272"/>
    <x v="272"/>
    <x v="2"/>
  </r>
  <r>
    <x v="273"/>
    <x v="143"/>
    <x v="0"/>
    <x v="1"/>
    <x v="273"/>
    <x v="273"/>
    <x v="273"/>
    <x v="24"/>
    <x v="115"/>
    <x v="273"/>
    <x v="273"/>
    <x v="273"/>
    <x v="273"/>
    <x v="273"/>
    <x v="273"/>
    <x v="273"/>
    <x v="5"/>
  </r>
  <r>
    <x v="274"/>
    <x v="118"/>
    <x v="1"/>
    <x v="3"/>
    <x v="274"/>
    <x v="274"/>
    <x v="274"/>
    <x v="270"/>
    <x v="222"/>
    <x v="274"/>
    <x v="274"/>
    <x v="274"/>
    <x v="274"/>
    <x v="274"/>
    <x v="274"/>
    <x v="274"/>
    <x v="5"/>
  </r>
  <r>
    <x v="275"/>
    <x v="101"/>
    <x v="2"/>
    <x v="3"/>
    <x v="275"/>
    <x v="275"/>
    <x v="275"/>
    <x v="271"/>
    <x v="223"/>
    <x v="275"/>
    <x v="275"/>
    <x v="275"/>
    <x v="275"/>
    <x v="275"/>
    <x v="275"/>
    <x v="275"/>
    <x v="1"/>
  </r>
  <r>
    <x v="276"/>
    <x v="74"/>
    <x v="4"/>
    <x v="3"/>
    <x v="276"/>
    <x v="276"/>
    <x v="276"/>
    <x v="272"/>
    <x v="224"/>
    <x v="276"/>
    <x v="276"/>
    <x v="276"/>
    <x v="276"/>
    <x v="276"/>
    <x v="276"/>
    <x v="276"/>
    <x v="1"/>
  </r>
  <r>
    <x v="277"/>
    <x v="144"/>
    <x v="3"/>
    <x v="0"/>
    <x v="277"/>
    <x v="277"/>
    <x v="277"/>
    <x v="273"/>
    <x v="225"/>
    <x v="277"/>
    <x v="277"/>
    <x v="277"/>
    <x v="277"/>
    <x v="277"/>
    <x v="277"/>
    <x v="277"/>
    <x v="6"/>
  </r>
  <r>
    <x v="278"/>
    <x v="29"/>
    <x v="3"/>
    <x v="1"/>
    <x v="278"/>
    <x v="278"/>
    <x v="278"/>
    <x v="274"/>
    <x v="226"/>
    <x v="278"/>
    <x v="278"/>
    <x v="278"/>
    <x v="278"/>
    <x v="278"/>
    <x v="278"/>
    <x v="278"/>
    <x v="4"/>
  </r>
  <r>
    <x v="279"/>
    <x v="67"/>
    <x v="0"/>
    <x v="1"/>
    <x v="279"/>
    <x v="279"/>
    <x v="279"/>
    <x v="275"/>
    <x v="227"/>
    <x v="279"/>
    <x v="279"/>
    <x v="279"/>
    <x v="279"/>
    <x v="279"/>
    <x v="279"/>
    <x v="279"/>
    <x v="4"/>
  </r>
  <r>
    <x v="280"/>
    <x v="47"/>
    <x v="2"/>
    <x v="1"/>
    <x v="280"/>
    <x v="280"/>
    <x v="280"/>
    <x v="276"/>
    <x v="228"/>
    <x v="280"/>
    <x v="280"/>
    <x v="280"/>
    <x v="280"/>
    <x v="280"/>
    <x v="280"/>
    <x v="280"/>
    <x v="1"/>
  </r>
  <r>
    <x v="281"/>
    <x v="40"/>
    <x v="3"/>
    <x v="0"/>
    <x v="281"/>
    <x v="281"/>
    <x v="281"/>
    <x v="277"/>
    <x v="229"/>
    <x v="281"/>
    <x v="281"/>
    <x v="281"/>
    <x v="281"/>
    <x v="281"/>
    <x v="281"/>
    <x v="281"/>
    <x v="0"/>
  </r>
  <r>
    <x v="282"/>
    <x v="116"/>
    <x v="2"/>
    <x v="0"/>
    <x v="282"/>
    <x v="282"/>
    <x v="282"/>
    <x v="278"/>
    <x v="230"/>
    <x v="282"/>
    <x v="282"/>
    <x v="282"/>
    <x v="282"/>
    <x v="282"/>
    <x v="282"/>
    <x v="282"/>
    <x v="5"/>
  </r>
  <r>
    <x v="283"/>
    <x v="38"/>
    <x v="0"/>
    <x v="0"/>
    <x v="283"/>
    <x v="283"/>
    <x v="283"/>
    <x v="279"/>
    <x v="231"/>
    <x v="283"/>
    <x v="283"/>
    <x v="283"/>
    <x v="283"/>
    <x v="283"/>
    <x v="283"/>
    <x v="283"/>
    <x v="2"/>
  </r>
  <r>
    <x v="284"/>
    <x v="10"/>
    <x v="0"/>
    <x v="1"/>
    <x v="284"/>
    <x v="284"/>
    <x v="284"/>
    <x v="280"/>
    <x v="232"/>
    <x v="284"/>
    <x v="284"/>
    <x v="284"/>
    <x v="284"/>
    <x v="284"/>
    <x v="284"/>
    <x v="284"/>
    <x v="2"/>
  </r>
  <r>
    <x v="285"/>
    <x v="43"/>
    <x v="4"/>
    <x v="0"/>
    <x v="285"/>
    <x v="285"/>
    <x v="285"/>
    <x v="116"/>
    <x v="191"/>
    <x v="285"/>
    <x v="285"/>
    <x v="285"/>
    <x v="285"/>
    <x v="285"/>
    <x v="285"/>
    <x v="285"/>
    <x v="4"/>
  </r>
  <r>
    <x v="286"/>
    <x v="18"/>
    <x v="1"/>
    <x v="1"/>
    <x v="286"/>
    <x v="286"/>
    <x v="286"/>
    <x v="281"/>
    <x v="24"/>
    <x v="286"/>
    <x v="286"/>
    <x v="286"/>
    <x v="286"/>
    <x v="286"/>
    <x v="286"/>
    <x v="286"/>
    <x v="6"/>
  </r>
  <r>
    <x v="287"/>
    <x v="145"/>
    <x v="3"/>
    <x v="0"/>
    <x v="287"/>
    <x v="287"/>
    <x v="287"/>
    <x v="282"/>
    <x v="233"/>
    <x v="287"/>
    <x v="287"/>
    <x v="287"/>
    <x v="287"/>
    <x v="287"/>
    <x v="287"/>
    <x v="287"/>
    <x v="3"/>
  </r>
  <r>
    <x v="288"/>
    <x v="37"/>
    <x v="0"/>
    <x v="2"/>
    <x v="288"/>
    <x v="288"/>
    <x v="288"/>
    <x v="283"/>
    <x v="234"/>
    <x v="288"/>
    <x v="288"/>
    <x v="288"/>
    <x v="288"/>
    <x v="288"/>
    <x v="288"/>
    <x v="288"/>
    <x v="5"/>
  </r>
  <r>
    <x v="289"/>
    <x v="129"/>
    <x v="2"/>
    <x v="3"/>
    <x v="289"/>
    <x v="289"/>
    <x v="289"/>
    <x v="284"/>
    <x v="205"/>
    <x v="289"/>
    <x v="289"/>
    <x v="289"/>
    <x v="289"/>
    <x v="289"/>
    <x v="289"/>
    <x v="289"/>
    <x v="1"/>
  </r>
  <r>
    <x v="290"/>
    <x v="113"/>
    <x v="2"/>
    <x v="1"/>
    <x v="290"/>
    <x v="290"/>
    <x v="290"/>
    <x v="285"/>
    <x v="235"/>
    <x v="290"/>
    <x v="290"/>
    <x v="290"/>
    <x v="290"/>
    <x v="290"/>
    <x v="290"/>
    <x v="290"/>
    <x v="1"/>
  </r>
  <r>
    <x v="291"/>
    <x v="102"/>
    <x v="2"/>
    <x v="3"/>
    <x v="291"/>
    <x v="291"/>
    <x v="291"/>
    <x v="286"/>
    <x v="202"/>
    <x v="291"/>
    <x v="291"/>
    <x v="291"/>
    <x v="291"/>
    <x v="291"/>
    <x v="291"/>
    <x v="291"/>
    <x v="1"/>
  </r>
  <r>
    <x v="292"/>
    <x v="4"/>
    <x v="1"/>
    <x v="1"/>
    <x v="292"/>
    <x v="292"/>
    <x v="292"/>
    <x v="287"/>
    <x v="236"/>
    <x v="292"/>
    <x v="292"/>
    <x v="292"/>
    <x v="292"/>
    <x v="292"/>
    <x v="292"/>
    <x v="292"/>
    <x v="0"/>
  </r>
  <r>
    <x v="293"/>
    <x v="97"/>
    <x v="1"/>
    <x v="0"/>
    <x v="293"/>
    <x v="293"/>
    <x v="293"/>
    <x v="288"/>
    <x v="237"/>
    <x v="293"/>
    <x v="293"/>
    <x v="293"/>
    <x v="293"/>
    <x v="293"/>
    <x v="293"/>
    <x v="293"/>
    <x v="0"/>
  </r>
  <r>
    <x v="294"/>
    <x v="82"/>
    <x v="0"/>
    <x v="3"/>
    <x v="294"/>
    <x v="294"/>
    <x v="294"/>
    <x v="289"/>
    <x v="238"/>
    <x v="294"/>
    <x v="294"/>
    <x v="294"/>
    <x v="294"/>
    <x v="294"/>
    <x v="294"/>
    <x v="294"/>
    <x v="3"/>
  </r>
  <r>
    <x v="295"/>
    <x v="18"/>
    <x v="1"/>
    <x v="2"/>
    <x v="295"/>
    <x v="295"/>
    <x v="295"/>
    <x v="290"/>
    <x v="239"/>
    <x v="295"/>
    <x v="295"/>
    <x v="295"/>
    <x v="295"/>
    <x v="295"/>
    <x v="295"/>
    <x v="295"/>
    <x v="6"/>
  </r>
  <r>
    <x v="296"/>
    <x v="112"/>
    <x v="3"/>
    <x v="2"/>
    <x v="296"/>
    <x v="296"/>
    <x v="296"/>
    <x v="291"/>
    <x v="156"/>
    <x v="296"/>
    <x v="296"/>
    <x v="296"/>
    <x v="296"/>
    <x v="296"/>
    <x v="296"/>
    <x v="296"/>
    <x v="4"/>
  </r>
  <r>
    <x v="297"/>
    <x v="146"/>
    <x v="0"/>
    <x v="1"/>
    <x v="297"/>
    <x v="297"/>
    <x v="297"/>
    <x v="292"/>
    <x v="45"/>
    <x v="297"/>
    <x v="297"/>
    <x v="297"/>
    <x v="297"/>
    <x v="297"/>
    <x v="297"/>
    <x v="297"/>
    <x v="5"/>
  </r>
  <r>
    <x v="298"/>
    <x v="7"/>
    <x v="2"/>
    <x v="0"/>
    <x v="298"/>
    <x v="298"/>
    <x v="298"/>
    <x v="293"/>
    <x v="240"/>
    <x v="298"/>
    <x v="298"/>
    <x v="298"/>
    <x v="298"/>
    <x v="298"/>
    <x v="298"/>
    <x v="298"/>
    <x v="2"/>
  </r>
  <r>
    <x v="299"/>
    <x v="106"/>
    <x v="3"/>
    <x v="0"/>
    <x v="299"/>
    <x v="299"/>
    <x v="299"/>
    <x v="294"/>
    <x v="241"/>
    <x v="299"/>
    <x v="299"/>
    <x v="299"/>
    <x v="299"/>
    <x v="299"/>
    <x v="299"/>
    <x v="299"/>
    <x v="3"/>
  </r>
  <r>
    <x v="300"/>
    <x v="97"/>
    <x v="3"/>
    <x v="2"/>
    <x v="300"/>
    <x v="300"/>
    <x v="300"/>
    <x v="295"/>
    <x v="183"/>
    <x v="300"/>
    <x v="300"/>
    <x v="300"/>
    <x v="300"/>
    <x v="300"/>
    <x v="300"/>
    <x v="300"/>
    <x v="0"/>
  </r>
  <r>
    <x v="301"/>
    <x v="105"/>
    <x v="2"/>
    <x v="2"/>
    <x v="301"/>
    <x v="301"/>
    <x v="301"/>
    <x v="296"/>
    <x v="242"/>
    <x v="301"/>
    <x v="301"/>
    <x v="301"/>
    <x v="301"/>
    <x v="301"/>
    <x v="301"/>
    <x v="301"/>
    <x v="3"/>
  </r>
  <r>
    <x v="302"/>
    <x v="33"/>
    <x v="0"/>
    <x v="3"/>
    <x v="302"/>
    <x v="302"/>
    <x v="302"/>
    <x v="297"/>
    <x v="243"/>
    <x v="302"/>
    <x v="302"/>
    <x v="302"/>
    <x v="302"/>
    <x v="302"/>
    <x v="302"/>
    <x v="302"/>
    <x v="2"/>
  </r>
  <r>
    <x v="303"/>
    <x v="129"/>
    <x v="4"/>
    <x v="0"/>
    <x v="303"/>
    <x v="303"/>
    <x v="303"/>
    <x v="298"/>
    <x v="232"/>
    <x v="303"/>
    <x v="303"/>
    <x v="303"/>
    <x v="303"/>
    <x v="303"/>
    <x v="303"/>
    <x v="303"/>
    <x v="1"/>
  </r>
  <r>
    <x v="304"/>
    <x v="147"/>
    <x v="1"/>
    <x v="3"/>
    <x v="304"/>
    <x v="304"/>
    <x v="304"/>
    <x v="299"/>
    <x v="76"/>
    <x v="304"/>
    <x v="304"/>
    <x v="304"/>
    <x v="304"/>
    <x v="304"/>
    <x v="304"/>
    <x v="304"/>
    <x v="3"/>
  </r>
  <r>
    <x v="305"/>
    <x v="51"/>
    <x v="3"/>
    <x v="1"/>
    <x v="305"/>
    <x v="305"/>
    <x v="305"/>
    <x v="300"/>
    <x v="42"/>
    <x v="305"/>
    <x v="305"/>
    <x v="305"/>
    <x v="305"/>
    <x v="305"/>
    <x v="305"/>
    <x v="305"/>
    <x v="2"/>
  </r>
  <r>
    <x v="306"/>
    <x v="7"/>
    <x v="3"/>
    <x v="0"/>
    <x v="306"/>
    <x v="306"/>
    <x v="306"/>
    <x v="301"/>
    <x v="29"/>
    <x v="306"/>
    <x v="306"/>
    <x v="306"/>
    <x v="306"/>
    <x v="306"/>
    <x v="306"/>
    <x v="306"/>
    <x v="2"/>
  </r>
  <r>
    <x v="307"/>
    <x v="148"/>
    <x v="3"/>
    <x v="0"/>
    <x v="307"/>
    <x v="307"/>
    <x v="307"/>
    <x v="302"/>
    <x v="244"/>
    <x v="307"/>
    <x v="307"/>
    <x v="307"/>
    <x v="307"/>
    <x v="307"/>
    <x v="307"/>
    <x v="307"/>
    <x v="4"/>
  </r>
  <r>
    <x v="308"/>
    <x v="149"/>
    <x v="0"/>
    <x v="0"/>
    <x v="308"/>
    <x v="308"/>
    <x v="308"/>
    <x v="303"/>
    <x v="245"/>
    <x v="308"/>
    <x v="308"/>
    <x v="308"/>
    <x v="308"/>
    <x v="308"/>
    <x v="308"/>
    <x v="308"/>
    <x v="3"/>
  </r>
  <r>
    <x v="309"/>
    <x v="20"/>
    <x v="3"/>
    <x v="2"/>
    <x v="309"/>
    <x v="309"/>
    <x v="309"/>
    <x v="304"/>
    <x v="246"/>
    <x v="309"/>
    <x v="309"/>
    <x v="309"/>
    <x v="309"/>
    <x v="309"/>
    <x v="309"/>
    <x v="309"/>
    <x v="6"/>
  </r>
  <r>
    <x v="310"/>
    <x v="110"/>
    <x v="2"/>
    <x v="2"/>
    <x v="310"/>
    <x v="310"/>
    <x v="310"/>
    <x v="300"/>
    <x v="22"/>
    <x v="310"/>
    <x v="310"/>
    <x v="310"/>
    <x v="310"/>
    <x v="310"/>
    <x v="310"/>
    <x v="310"/>
    <x v="0"/>
  </r>
  <r>
    <x v="311"/>
    <x v="70"/>
    <x v="4"/>
    <x v="3"/>
    <x v="311"/>
    <x v="311"/>
    <x v="311"/>
    <x v="305"/>
    <x v="247"/>
    <x v="311"/>
    <x v="311"/>
    <x v="311"/>
    <x v="311"/>
    <x v="311"/>
    <x v="311"/>
    <x v="311"/>
    <x v="2"/>
  </r>
  <r>
    <x v="312"/>
    <x v="51"/>
    <x v="2"/>
    <x v="2"/>
    <x v="312"/>
    <x v="312"/>
    <x v="312"/>
    <x v="306"/>
    <x v="248"/>
    <x v="312"/>
    <x v="312"/>
    <x v="312"/>
    <x v="312"/>
    <x v="312"/>
    <x v="312"/>
    <x v="312"/>
    <x v="2"/>
  </r>
  <r>
    <x v="313"/>
    <x v="89"/>
    <x v="4"/>
    <x v="2"/>
    <x v="313"/>
    <x v="313"/>
    <x v="313"/>
    <x v="307"/>
    <x v="249"/>
    <x v="313"/>
    <x v="313"/>
    <x v="313"/>
    <x v="313"/>
    <x v="313"/>
    <x v="313"/>
    <x v="313"/>
    <x v="1"/>
  </r>
  <r>
    <x v="314"/>
    <x v="104"/>
    <x v="2"/>
    <x v="0"/>
    <x v="314"/>
    <x v="314"/>
    <x v="314"/>
    <x v="308"/>
    <x v="190"/>
    <x v="314"/>
    <x v="314"/>
    <x v="314"/>
    <x v="314"/>
    <x v="314"/>
    <x v="314"/>
    <x v="314"/>
    <x v="0"/>
  </r>
  <r>
    <x v="315"/>
    <x v="31"/>
    <x v="1"/>
    <x v="1"/>
    <x v="315"/>
    <x v="315"/>
    <x v="315"/>
    <x v="309"/>
    <x v="6"/>
    <x v="315"/>
    <x v="315"/>
    <x v="315"/>
    <x v="315"/>
    <x v="315"/>
    <x v="315"/>
    <x v="315"/>
    <x v="2"/>
  </r>
  <r>
    <x v="316"/>
    <x v="150"/>
    <x v="3"/>
    <x v="1"/>
    <x v="316"/>
    <x v="316"/>
    <x v="316"/>
    <x v="310"/>
    <x v="250"/>
    <x v="316"/>
    <x v="316"/>
    <x v="316"/>
    <x v="316"/>
    <x v="316"/>
    <x v="316"/>
    <x v="316"/>
    <x v="1"/>
  </r>
  <r>
    <x v="317"/>
    <x v="101"/>
    <x v="4"/>
    <x v="1"/>
    <x v="317"/>
    <x v="317"/>
    <x v="317"/>
    <x v="311"/>
    <x v="251"/>
    <x v="317"/>
    <x v="317"/>
    <x v="317"/>
    <x v="317"/>
    <x v="317"/>
    <x v="317"/>
    <x v="317"/>
    <x v="1"/>
  </r>
  <r>
    <x v="318"/>
    <x v="89"/>
    <x v="3"/>
    <x v="0"/>
    <x v="318"/>
    <x v="318"/>
    <x v="318"/>
    <x v="312"/>
    <x v="252"/>
    <x v="318"/>
    <x v="318"/>
    <x v="318"/>
    <x v="318"/>
    <x v="318"/>
    <x v="318"/>
    <x v="318"/>
    <x v="1"/>
  </r>
  <r>
    <x v="319"/>
    <x v="10"/>
    <x v="4"/>
    <x v="3"/>
    <x v="319"/>
    <x v="319"/>
    <x v="319"/>
    <x v="313"/>
    <x v="253"/>
    <x v="319"/>
    <x v="319"/>
    <x v="319"/>
    <x v="319"/>
    <x v="319"/>
    <x v="319"/>
    <x v="319"/>
    <x v="2"/>
  </r>
  <r>
    <x v="320"/>
    <x v="94"/>
    <x v="1"/>
    <x v="3"/>
    <x v="320"/>
    <x v="320"/>
    <x v="320"/>
    <x v="314"/>
    <x v="53"/>
    <x v="320"/>
    <x v="320"/>
    <x v="320"/>
    <x v="320"/>
    <x v="320"/>
    <x v="320"/>
    <x v="320"/>
    <x v="0"/>
  </r>
  <r>
    <x v="321"/>
    <x v="58"/>
    <x v="1"/>
    <x v="2"/>
    <x v="321"/>
    <x v="321"/>
    <x v="321"/>
    <x v="227"/>
    <x v="254"/>
    <x v="321"/>
    <x v="321"/>
    <x v="321"/>
    <x v="321"/>
    <x v="321"/>
    <x v="321"/>
    <x v="321"/>
    <x v="2"/>
  </r>
  <r>
    <x v="322"/>
    <x v="151"/>
    <x v="4"/>
    <x v="3"/>
    <x v="322"/>
    <x v="322"/>
    <x v="322"/>
    <x v="315"/>
    <x v="255"/>
    <x v="322"/>
    <x v="322"/>
    <x v="322"/>
    <x v="322"/>
    <x v="322"/>
    <x v="322"/>
    <x v="322"/>
    <x v="2"/>
  </r>
  <r>
    <x v="323"/>
    <x v="152"/>
    <x v="1"/>
    <x v="3"/>
    <x v="323"/>
    <x v="323"/>
    <x v="323"/>
    <x v="316"/>
    <x v="256"/>
    <x v="323"/>
    <x v="323"/>
    <x v="323"/>
    <x v="323"/>
    <x v="323"/>
    <x v="323"/>
    <x v="323"/>
    <x v="1"/>
  </r>
  <r>
    <x v="324"/>
    <x v="123"/>
    <x v="1"/>
    <x v="2"/>
    <x v="324"/>
    <x v="324"/>
    <x v="324"/>
    <x v="317"/>
    <x v="257"/>
    <x v="324"/>
    <x v="324"/>
    <x v="324"/>
    <x v="324"/>
    <x v="324"/>
    <x v="324"/>
    <x v="324"/>
    <x v="5"/>
  </r>
  <r>
    <x v="325"/>
    <x v="52"/>
    <x v="2"/>
    <x v="1"/>
    <x v="325"/>
    <x v="325"/>
    <x v="325"/>
    <x v="318"/>
    <x v="250"/>
    <x v="325"/>
    <x v="325"/>
    <x v="325"/>
    <x v="325"/>
    <x v="325"/>
    <x v="325"/>
    <x v="325"/>
    <x v="3"/>
  </r>
  <r>
    <x v="326"/>
    <x v="29"/>
    <x v="0"/>
    <x v="3"/>
    <x v="326"/>
    <x v="326"/>
    <x v="326"/>
    <x v="319"/>
    <x v="258"/>
    <x v="326"/>
    <x v="326"/>
    <x v="326"/>
    <x v="326"/>
    <x v="326"/>
    <x v="326"/>
    <x v="326"/>
    <x v="4"/>
  </r>
  <r>
    <x v="327"/>
    <x v="81"/>
    <x v="1"/>
    <x v="1"/>
    <x v="327"/>
    <x v="327"/>
    <x v="327"/>
    <x v="320"/>
    <x v="259"/>
    <x v="327"/>
    <x v="327"/>
    <x v="327"/>
    <x v="327"/>
    <x v="327"/>
    <x v="327"/>
    <x v="327"/>
    <x v="5"/>
  </r>
  <r>
    <x v="328"/>
    <x v="141"/>
    <x v="3"/>
    <x v="2"/>
    <x v="328"/>
    <x v="328"/>
    <x v="328"/>
    <x v="321"/>
    <x v="111"/>
    <x v="328"/>
    <x v="328"/>
    <x v="328"/>
    <x v="328"/>
    <x v="328"/>
    <x v="328"/>
    <x v="328"/>
    <x v="0"/>
  </r>
  <r>
    <x v="329"/>
    <x v="123"/>
    <x v="1"/>
    <x v="3"/>
    <x v="329"/>
    <x v="329"/>
    <x v="329"/>
    <x v="322"/>
    <x v="260"/>
    <x v="329"/>
    <x v="329"/>
    <x v="329"/>
    <x v="329"/>
    <x v="329"/>
    <x v="329"/>
    <x v="329"/>
    <x v="5"/>
  </r>
  <r>
    <x v="330"/>
    <x v="140"/>
    <x v="0"/>
    <x v="1"/>
    <x v="330"/>
    <x v="330"/>
    <x v="330"/>
    <x v="323"/>
    <x v="261"/>
    <x v="330"/>
    <x v="330"/>
    <x v="330"/>
    <x v="330"/>
    <x v="330"/>
    <x v="330"/>
    <x v="330"/>
    <x v="4"/>
  </r>
  <r>
    <x v="331"/>
    <x v="153"/>
    <x v="1"/>
    <x v="0"/>
    <x v="331"/>
    <x v="331"/>
    <x v="331"/>
    <x v="324"/>
    <x v="262"/>
    <x v="331"/>
    <x v="331"/>
    <x v="331"/>
    <x v="331"/>
    <x v="331"/>
    <x v="331"/>
    <x v="331"/>
    <x v="3"/>
  </r>
  <r>
    <x v="332"/>
    <x v="15"/>
    <x v="1"/>
    <x v="1"/>
    <x v="332"/>
    <x v="332"/>
    <x v="332"/>
    <x v="325"/>
    <x v="263"/>
    <x v="332"/>
    <x v="332"/>
    <x v="332"/>
    <x v="332"/>
    <x v="332"/>
    <x v="332"/>
    <x v="332"/>
    <x v="3"/>
  </r>
  <r>
    <x v="333"/>
    <x v="86"/>
    <x v="1"/>
    <x v="2"/>
    <x v="333"/>
    <x v="333"/>
    <x v="333"/>
    <x v="277"/>
    <x v="42"/>
    <x v="333"/>
    <x v="333"/>
    <x v="333"/>
    <x v="333"/>
    <x v="333"/>
    <x v="333"/>
    <x v="333"/>
    <x v="2"/>
  </r>
  <r>
    <x v="334"/>
    <x v="154"/>
    <x v="1"/>
    <x v="1"/>
    <x v="334"/>
    <x v="334"/>
    <x v="334"/>
    <x v="326"/>
    <x v="111"/>
    <x v="334"/>
    <x v="334"/>
    <x v="334"/>
    <x v="334"/>
    <x v="334"/>
    <x v="334"/>
    <x v="334"/>
    <x v="0"/>
  </r>
  <r>
    <x v="335"/>
    <x v="100"/>
    <x v="0"/>
    <x v="2"/>
    <x v="335"/>
    <x v="335"/>
    <x v="335"/>
    <x v="327"/>
    <x v="264"/>
    <x v="335"/>
    <x v="335"/>
    <x v="335"/>
    <x v="335"/>
    <x v="335"/>
    <x v="335"/>
    <x v="335"/>
    <x v="0"/>
  </r>
  <r>
    <x v="336"/>
    <x v="89"/>
    <x v="0"/>
    <x v="3"/>
    <x v="336"/>
    <x v="336"/>
    <x v="336"/>
    <x v="328"/>
    <x v="248"/>
    <x v="336"/>
    <x v="336"/>
    <x v="336"/>
    <x v="336"/>
    <x v="336"/>
    <x v="336"/>
    <x v="336"/>
    <x v="1"/>
  </r>
  <r>
    <x v="337"/>
    <x v="109"/>
    <x v="2"/>
    <x v="0"/>
    <x v="337"/>
    <x v="337"/>
    <x v="337"/>
    <x v="329"/>
    <x v="208"/>
    <x v="337"/>
    <x v="337"/>
    <x v="337"/>
    <x v="337"/>
    <x v="337"/>
    <x v="337"/>
    <x v="337"/>
    <x v="5"/>
  </r>
  <r>
    <x v="338"/>
    <x v="155"/>
    <x v="4"/>
    <x v="0"/>
    <x v="338"/>
    <x v="338"/>
    <x v="338"/>
    <x v="330"/>
    <x v="111"/>
    <x v="338"/>
    <x v="338"/>
    <x v="338"/>
    <x v="338"/>
    <x v="338"/>
    <x v="338"/>
    <x v="338"/>
    <x v="0"/>
  </r>
  <r>
    <x v="339"/>
    <x v="156"/>
    <x v="3"/>
    <x v="1"/>
    <x v="339"/>
    <x v="339"/>
    <x v="339"/>
    <x v="331"/>
    <x v="260"/>
    <x v="339"/>
    <x v="339"/>
    <x v="339"/>
    <x v="339"/>
    <x v="339"/>
    <x v="339"/>
    <x v="339"/>
    <x v="1"/>
  </r>
  <r>
    <x v="340"/>
    <x v="38"/>
    <x v="1"/>
    <x v="0"/>
    <x v="340"/>
    <x v="340"/>
    <x v="340"/>
    <x v="332"/>
    <x v="265"/>
    <x v="340"/>
    <x v="340"/>
    <x v="340"/>
    <x v="340"/>
    <x v="340"/>
    <x v="340"/>
    <x v="340"/>
    <x v="2"/>
  </r>
  <r>
    <x v="341"/>
    <x v="19"/>
    <x v="3"/>
    <x v="2"/>
    <x v="341"/>
    <x v="341"/>
    <x v="341"/>
    <x v="333"/>
    <x v="266"/>
    <x v="341"/>
    <x v="341"/>
    <x v="341"/>
    <x v="341"/>
    <x v="341"/>
    <x v="341"/>
    <x v="341"/>
    <x v="0"/>
  </r>
  <r>
    <x v="342"/>
    <x v="82"/>
    <x v="2"/>
    <x v="1"/>
    <x v="342"/>
    <x v="342"/>
    <x v="342"/>
    <x v="334"/>
    <x v="267"/>
    <x v="342"/>
    <x v="342"/>
    <x v="342"/>
    <x v="342"/>
    <x v="342"/>
    <x v="342"/>
    <x v="342"/>
    <x v="3"/>
  </r>
  <r>
    <x v="343"/>
    <x v="126"/>
    <x v="0"/>
    <x v="2"/>
    <x v="343"/>
    <x v="343"/>
    <x v="343"/>
    <x v="335"/>
    <x v="255"/>
    <x v="343"/>
    <x v="343"/>
    <x v="343"/>
    <x v="343"/>
    <x v="343"/>
    <x v="343"/>
    <x v="343"/>
    <x v="5"/>
  </r>
  <r>
    <x v="344"/>
    <x v="23"/>
    <x v="2"/>
    <x v="3"/>
    <x v="344"/>
    <x v="344"/>
    <x v="344"/>
    <x v="336"/>
    <x v="253"/>
    <x v="344"/>
    <x v="344"/>
    <x v="344"/>
    <x v="344"/>
    <x v="344"/>
    <x v="344"/>
    <x v="344"/>
    <x v="2"/>
  </r>
  <r>
    <x v="345"/>
    <x v="128"/>
    <x v="2"/>
    <x v="3"/>
    <x v="345"/>
    <x v="345"/>
    <x v="345"/>
    <x v="337"/>
    <x v="268"/>
    <x v="345"/>
    <x v="345"/>
    <x v="345"/>
    <x v="345"/>
    <x v="345"/>
    <x v="345"/>
    <x v="345"/>
    <x v="4"/>
  </r>
  <r>
    <x v="346"/>
    <x v="40"/>
    <x v="1"/>
    <x v="2"/>
    <x v="346"/>
    <x v="346"/>
    <x v="346"/>
    <x v="338"/>
    <x v="269"/>
    <x v="346"/>
    <x v="346"/>
    <x v="346"/>
    <x v="346"/>
    <x v="346"/>
    <x v="346"/>
    <x v="346"/>
    <x v="0"/>
  </r>
  <r>
    <x v="347"/>
    <x v="30"/>
    <x v="0"/>
    <x v="3"/>
    <x v="347"/>
    <x v="347"/>
    <x v="347"/>
    <x v="339"/>
    <x v="107"/>
    <x v="347"/>
    <x v="347"/>
    <x v="347"/>
    <x v="347"/>
    <x v="347"/>
    <x v="347"/>
    <x v="347"/>
    <x v="5"/>
  </r>
  <r>
    <x v="348"/>
    <x v="3"/>
    <x v="1"/>
    <x v="0"/>
    <x v="348"/>
    <x v="348"/>
    <x v="348"/>
    <x v="340"/>
    <x v="270"/>
    <x v="348"/>
    <x v="348"/>
    <x v="348"/>
    <x v="348"/>
    <x v="348"/>
    <x v="348"/>
    <x v="348"/>
    <x v="0"/>
  </r>
  <r>
    <x v="349"/>
    <x v="42"/>
    <x v="4"/>
    <x v="3"/>
    <x v="349"/>
    <x v="349"/>
    <x v="349"/>
    <x v="341"/>
    <x v="256"/>
    <x v="349"/>
    <x v="349"/>
    <x v="349"/>
    <x v="349"/>
    <x v="349"/>
    <x v="349"/>
    <x v="349"/>
    <x v="3"/>
  </r>
  <r>
    <x v="350"/>
    <x v="147"/>
    <x v="4"/>
    <x v="0"/>
    <x v="350"/>
    <x v="350"/>
    <x v="350"/>
    <x v="342"/>
    <x v="271"/>
    <x v="350"/>
    <x v="350"/>
    <x v="350"/>
    <x v="350"/>
    <x v="350"/>
    <x v="350"/>
    <x v="350"/>
    <x v="3"/>
  </r>
  <r>
    <x v="351"/>
    <x v="120"/>
    <x v="0"/>
    <x v="3"/>
    <x v="351"/>
    <x v="351"/>
    <x v="351"/>
    <x v="343"/>
    <x v="42"/>
    <x v="351"/>
    <x v="351"/>
    <x v="351"/>
    <x v="351"/>
    <x v="351"/>
    <x v="351"/>
    <x v="351"/>
    <x v="2"/>
  </r>
  <r>
    <x v="352"/>
    <x v="101"/>
    <x v="0"/>
    <x v="2"/>
    <x v="352"/>
    <x v="352"/>
    <x v="352"/>
    <x v="344"/>
    <x v="272"/>
    <x v="352"/>
    <x v="352"/>
    <x v="352"/>
    <x v="352"/>
    <x v="352"/>
    <x v="352"/>
    <x v="352"/>
    <x v="1"/>
  </r>
  <r>
    <x v="353"/>
    <x v="37"/>
    <x v="0"/>
    <x v="3"/>
    <x v="353"/>
    <x v="353"/>
    <x v="353"/>
    <x v="345"/>
    <x v="12"/>
    <x v="353"/>
    <x v="353"/>
    <x v="353"/>
    <x v="353"/>
    <x v="353"/>
    <x v="353"/>
    <x v="353"/>
    <x v="5"/>
  </r>
  <r>
    <x v="354"/>
    <x v="70"/>
    <x v="4"/>
    <x v="3"/>
    <x v="354"/>
    <x v="354"/>
    <x v="354"/>
    <x v="346"/>
    <x v="273"/>
    <x v="354"/>
    <x v="354"/>
    <x v="354"/>
    <x v="354"/>
    <x v="354"/>
    <x v="354"/>
    <x v="354"/>
    <x v="2"/>
  </r>
  <r>
    <x v="355"/>
    <x v="89"/>
    <x v="2"/>
    <x v="2"/>
    <x v="355"/>
    <x v="355"/>
    <x v="355"/>
    <x v="347"/>
    <x v="211"/>
    <x v="355"/>
    <x v="355"/>
    <x v="355"/>
    <x v="355"/>
    <x v="355"/>
    <x v="355"/>
    <x v="355"/>
    <x v="1"/>
  </r>
  <r>
    <x v="356"/>
    <x v="63"/>
    <x v="0"/>
    <x v="0"/>
    <x v="356"/>
    <x v="356"/>
    <x v="356"/>
    <x v="348"/>
    <x v="157"/>
    <x v="356"/>
    <x v="356"/>
    <x v="356"/>
    <x v="356"/>
    <x v="356"/>
    <x v="356"/>
    <x v="356"/>
    <x v="6"/>
  </r>
  <r>
    <x v="357"/>
    <x v="133"/>
    <x v="3"/>
    <x v="0"/>
    <x v="357"/>
    <x v="357"/>
    <x v="357"/>
    <x v="349"/>
    <x v="274"/>
    <x v="357"/>
    <x v="357"/>
    <x v="357"/>
    <x v="357"/>
    <x v="357"/>
    <x v="357"/>
    <x v="357"/>
    <x v="3"/>
  </r>
  <r>
    <x v="358"/>
    <x v="62"/>
    <x v="0"/>
    <x v="0"/>
    <x v="358"/>
    <x v="358"/>
    <x v="358"/>
    <x v="92"/>
    <x v="39"/>
    <x v="358"/>
    <x v="358"/>
    <x v="358"/>
    <x v="358"/>
    <x v="358"/>
    <x v="358"/>
    <x v="358"/>
    <x v="4"/>
  </r>
  <r>
    <x v="359"/>
    <x v="43"/>
    <x v="4"/>
    <x v="1"/>
    <x v="359"/>
    <x v="359"/>
    <x v="359"/>
    <x v="350"/>
    <x v="52"/>
    <x v="359"/>
    <x v="359"/>
    <x v="359"/>
    <x v="359"/>
    <x v="359"/>
    <x v="359"/>
    <x v="359"/>
    <x v="4"/>
  </r>
  <r>
    <x v="360"/>
    <x v="53"/>
    <x v="2"/>
    <x v="3"/>
    <x v="360"/>
    <x v="360"/>
    <x v="360"/>
    <x v="351"/>
    <x v="275"/>
    <x v="360"/>
    <x v="360"/>
    <x v="360"/>
    <x v="360"/>
    <x v="360"/>
    <x v="360"/>
    <x v="360"/>
    <x v="5"/>
  </r>
  <r>
    <x v="361"/>
    <x v="100"/>
    <x v="2"/>
    <x v="3"/>
    <x v="361"/>
    <x v="361"/>
    <x v="361"/>
    <x v="352"/>
    <x v="276"/>
    <x v="361"/>
    <x v="361"/>
    <x v="361"/>
    <x v="361"/>
    <x v="361"/>
    <x v="361"/>
    <x v="361"/>
    <x v="0"/>
  </r>
  <r>
    <x v="362"/>
    <x v="114"/>
    <x v="2"/>
    <x v="3"/>
    <x v="362"/>
    <x v="362"/>
    <x v="362"/>
    <x v="353"/>
    <x v="175"/>
    <x v="362"/>
    <x v="362"/>
    <x v="362"/>
    <x v="362"/>
    <x v="362"/>
    <x v="362"/>
    <x v="362"/>
    <x v="2"/>
  </r>
  <r>
    <x v="363"/>
    <x v="150"/>
    <x v="0"/>
    <x v="3"/>
    <x v="363"/>
    <x v="363"/>
    <x v="363"/>
    <x v="354"/>
    <x v="62"/>
    <x v="363"/>
    <x v="363"/>
    <x v="363"/>
    <x v="363"/>
    <x v="363"/>
    <x v="363"/>
    <x v="363"/>
    <x v="1"/>
  </r>
  <r>
    <x v="364"/>
    <x v="42"/>
    <x v="2"/>
    <x v="3"/>
    <x v="364"/>
    <x v="364"/>
    <x v="364"/>
    <x v="355"/>
    <x v="125"/>
    <x v="364"/>
    <x v="364"/>
    <x v="364"/>
    <x v="364"/>
    <x v="364"/>
    <x v="364"/>
    <x v="364"/>
    <x v="3"/>
  </r>
  <r>
    <x v="365"/>
    <x v="157"/>
    <x v="2"/>
    <x v="3"/>
    <x v="365"/>
    <x v="365"/>
    <x v="365"/>
    <x v="356"/>
    <x v="277"/>
    <x v="365"/>
    <x v="365"/>
    <x v="365"/>
    <x v="365"/>
    <x v="365"/>
    <x v="365"/>
    <x v="365"/>
    <x v="4"/>
  </r>
  <r>
    <x v="366"/>
    <x v="158"/>
    <x v="3"/>
    <x v="2"/>
    <x v="366"/>
    <x v="366"/>
    <x v="366"/>
    <x v="357"/>
    <x v="278"/>
    <x v="366"/>
    <x v="366"/>
    <x v="366"/>
    <x v="366"/>
    <x v="366"/>
    <x v="366"/>
    <x v="366"/>
    <x v="3"/>
  </r>
  <r>
    <x v="367"/>
    <x v="52"/>
    <x v="3"/>
    <x v="0"/>
    <x v="367"/>
    <x v="367"/>
    <x v="367"/>
    <x v="358"/>
    <x v="279"/>
    <x v="367"/>
    <x v="367"/>
    <x v="367"/>
    <x v="367"/>
    <x v="367"/>
    <x v="367"/>
    <x v="367"/>
    <x v="3"/>
  </r>
  <r>
    <x v="368"/>
    <x v="83"/>
    <x v="1"/>
    <x v="2"/>
    <x v="368"/>
    <x v="368"/>
    <x v="368"/>
    <x v="359"/>
    <x v="280"/>
    <x v="368"/>
    <x v="368"/>
    <x v="368"/>
    <x v="368"/>
    <x v="368"/>
    <x v="368"/>
    <x v="368"/>
    <x v="3"/>
  </r>
  <r>
    <x v="369"/>
    <x v="43"/>
    <x v="0"/>
    <x v="0"/>
    <x v="369"/>
    <x v="369"/>
    <x v="369"/>
    <x v="301"/>
    <x v="265"/>
    <x v="369"/>
    <x v="369"/>
    <x v="369"/>
    <x v="369"/>
    <x v="369"/>
    <x v="369"/>
    <x v="369"/>
    <x v="4"/>
  </r>
  <r>
    <x v="370"/>
    <x v="146"/>
    <x v="2"/>
    <x v="3"/>
    <x v="370"/>
    <x v="370"/>
    <x v="370"/>
    <x v="360"/>
    <x v="39"/>
    <x v="370"/>
    <x v="370"/>
    <x v="370"/>
    <x v="370"/>
    <x v="370"/>
    <x v="370"/>
    <x v="370"/>
    <x v="5"/>
  </r>
  <r>
    <x v="371"/>
    <x v="138"/>
    <x v="4"/>
    <x v="2"/>
    <x v="371"/>
    <x v="371"/>
    <x v="371"/>
    <x v="361"/>
    <x v="281"/>
    <x v="371"/>
    <x v="371"/>
    <x v="371"/>
    <x v="371"/>
    <x v="371"/>
    <x v="371"/>
    <x v="371"/>
    <x v="4"/>
  </r>
  <r>
    <x v="372"/>
    <x v="60"/>
    <x v="1"/>
    <x v="1"/>
    <x v="372"/>
    <x v="372"/>
    <x v="372"/>
    <x v="362"/>
    <x v="282"/>
    <x v="372"/>
    <x v="372"/>
    <x v="372"/>
    <x v="372"/>
    <x v="372"/>
    <x v="372"/>
    <x v="372"/>
    <x v="4"/>
  </r>
  <r>
    <x v="373"/>
    <x v="39"/>
    <x v="4"/>
    <x v="3"/>
    <x v="373"/>
    <x v="373"/>
    <x v="373"/>
    <x v="363"/>
    <x v="283"/>
    <x v="373"/>
    <x v="373"/>
    <x v="373"/>
    <x v="373"/>
    <x v="373"/>
    <x v="373"/>
    <x v="373"/>
    <x v="0"/>
  </r>
  <r>
    <x v="374"/>
    <x v="142"/>
    <x v="1"/>
    <x v="1"/>
    <x v="374"/>
    <x v="374"/>
    <x v="374"/>
    <x v="364"/>
    <x v="142"/>
    <x v="374"/>
    <x v="374"/>
    <x v="374"/>
    <x v="374"/>
    <x v="374"/>
    <x v="374"/>
    <x v="374"/>
    <x v="5"/>
  </r>
  <r>
    <x v="375"/>
    <x v="149"/>
    <x v="4"/>
    <x v="0"/>
    <x v="375"/>
    <x v="375"/>
    <x v="375"/>
    <x v="365"/>
    <x v="284"/>
    <x v="375"/>
    <x v="375"/>
    <x v="375"/>
    <x v="375"/>
    <x v="375"/>
    <x v="375"/>
    <x v="375"/>
    <x v="3"/>
  </r>
  <r>
    <x v="376"/>
    <x v="57"/>
    <x v="4"/>
    <x v="3"/>
    <x v="376"/>
    <x v="376"/>
    <x v="376"/>
    <x v="366"/>
    <x v="285"/>
    <x v="376"/>
    <x v="376"/>
    <x v="376"/>
    <x v="376"/>
    <x v="376"/>
    <x v="376"/>
    <x v="376"/>
    <x v="5"/>
  </r>
  <r>
    <x v="377"/>
    <x v="129"/>
    <x v="1"/>
    <x v="1"/>
    <x v="377"/>
    <x v="377"/>
    <x v="377"/>
    <x v="367"/>
    <x v="286"/>
    <x v="377"/>
    <x v="377"/>
    <x v="377"/>
    <x v="377"/>
    <x v="377"/>
    <x v="377"/>
    <x v="377"/>
    <x v="1"/>
  </r>
  <r>
    <x v="378"/>
    <x v="21"/>
    <x v="2"/>
    <x v="3"/>
    <x v="378"/>
    <x v="378"/>
    <x v="378"/>
    <x v="368"/>
    <x v="287"/>
    <x v="378"/>
    <x v="378"/>
    <x v="378"/>
    <x v="378"/>
    <x v="378"/>
    <x v="378"/>
    <x v="378"/>
    <x v="2"/>
  </r>
  <r>
    <x v="379"/>
    <x v="93"/>
    <x v="0"/>
    <x v="0"/>
    <x v="379"/>
    <x v="379"/>
    <x v="379"/>
    <x v="369"/>
    <x v="204"/>
    <x v="379"/>
    <x v="379"/>
    <x v="379"/>
    <x v="379"/>
    <x v="379"/>
    <x v="379"/>
    <x v="379"/>
    <x v="0"/>
  </r>
  <r>
    <x v="380"/>
    <x v="43"/>
    <x v="2"/>
    <x v="2"/>
    <x v="380"/>
    <x v="380"/>
    <x v="380"/>
    <x v="370"/>
    <x v="288"/>
    <x v="380"/>
    <x v="380"/>
    <x v="380"/>
    <x v="380"/>
    <x v="380"/>
    <x v="380"/>
    <x v="380"/>
    <x v="4"/>
  </r>
  <r>
    <x v="381"/>
    <x v="96"/>
    <x v="0"/>
    <x v="2"/>
    <x v="381"/>
    <x v="381"/>
    <x v="381"/>
    <x v="371"/>
    <x v="289"/>
    <x v="381"/>
    <x v="381"/>
    <x v="381"/>
    <x v="381"/>
    <x v="381"/>
    <x v="381"/>
    <x v="381"/>
    <x v="2"/>
  </r>
  <r>
    <x v="382"/>
    <x v="159"/>
    <x v="3"/>
    <x v="3"/>
    <x v="382"/>
    <x v="382"/>
    <x v="382"/>
    <x v="372"/>
    <x v="290"/>
    <x v="382"/>
    <x v="382"/>
    <x v="382"/>
    <x v="382"/>
    <x v="382"/>
    <x v="382"/>
    <x v="382"/>
    <x v="6"/>
  </r>
  <r>
    <x v="383"/>
    <x v="160"/>
    <x v="1"/>
    <x v="2"/>
    <x v="383"/>
    <x v="383"/>
    <x v="383"/>
    <x v="373"/>
    <x v="291"/>
    <x v="383"/>
    <x v="383"/>
    <x v="383"/>
    <x v="383"/>
    <x v="383"/>
    <x v="383"/>
    <x v="383"/>
    <x v="4"/>
  </r>
  <r>
    <x v="384"/>
    <x v="77"/>
    <x v="0"/>
    <x v="3"/>
    <x v="384"/>
    <x v="384"/>
    <x v="384"/>
    <x v="374"/>
    <x v="292"/>
    <x v="384"/>
    <x v="384"/>
    <x v="384"/>
    <x v="384"/>
    <x v="384"/>
    <x v="384"/>
    <x v="384"/>
    <x v="2"/>
  </r>
  <r>
    <x v="385"/>
    <x v="122"/>
    <x v="0"/>
    <x v="1"/>
    <x v="385"/>
    <x v="385"/>
    <x v="385"/>
    <x v="375"/>
    <x v="172"/>
    <x v="385"/>
    <x v="385"/>
    <x v="385"/>
    <x v="385"/>
    <x v="385"/>
    <x v="385"/>
    <x v="385"/>
    <x v="2"/>
  </r>
  <r>
    <x v="386"/>
    <x v="77"/>
    <x v="2"/>
    <x v="1"/>
    <x v="386"/>
    <x v="386"/>
    <x v="386"/>
    <x v="376"/>
    <x v="293"/>
    <x v="386"/>
    <x v="386"/>
    <x v="386"/>
    <x v="386"/>
    <x v="386"/>
    <x v="386"/>
    <x v="386"/>
    <x v="2"/>
  </r>
  <r>
    <x v="387"/>
    <x v="46"/>
    <x v="2"/>
    <x v="3"/>
    <x v="387"/>
    <x v="387"/>
    <x v="387"/>
    <x v="377"/>
    <x v="177"/>
    <x v="387"/>
    <x v="387"/>
    <x v="387"/>
    <x v="387"/>
    <x v="387"/>
    <x v="387"/>
    <x v="387"/>
    <x v="1"/>
  </r>
  <r>
    <x v="388"/>
    <x v="79"/>
    <x v="0"/>
    <x v="1"/>
    <x v="388"/>
    <x v="388"/>
    <x v="388"/>
    <x v="378"/>
    <x v="294"/>
    <x v="388"/>
    <x v="388"/>
    <x v="388"/>
    <x v="388"/>
    <x v="388"/>
    <x v="388"/>
    <x v="388"/>
    <x v="4"/>
  </r>
  <r>
    <x v="389"/>
    <x v="159"/>
    <x v="2"/>
    <x v="3"/>
    <x v="389"/>
    <x v="389"/>
    <x v="389"/>
    <x v="379"/>
    <x v="295"/>
    <x v="389"/>
    <x v="389"/>
    <x v="389"/>
    <x v="389"/>
    <x v="389"/>
    <x v="389"/>
    <x v="389"/>
    <x v="6"/>
  </r>
  <r>
    <x v="390"/>
    <x v="84"/>
    <x v="0"/>
    <x v="3"/>
    <x v="390"/>
    <x v="390"/>
    <x v="390"/>
    <x v="380"/>
    <x v="101"/>
    <x v="390"/>
    <x v="390"/>
    <x v="390"/>
    <x v="390"/>
    <x v="390"/>
    <x v="390"/>
    <x v="390"/>
    <x v="4"/>
  </r>
  <r>
    <x v="391"/>
    <x v="96"/>
    <x v="0"/>
    <x v="3"/>
    <x v="391"/>
    <x v="391"/>
    <x v="391"/>
    <x v="381"/>
    <x v="296"/>
    <x v="391"/>
    <x v="391"/>
    <x v="391"/>
    <x v="391"/>
    <x v="391"/>
    <x v="391"/>
    <x v="391"/>
    <x v="2"/>
  </r>
  <r>
    <x v="392"/>
    <x v="53"/>
    <x v="1"/>
    <x v="1"/>
    <x v="392"/>
    <x v="392"/>
    <x v="392"/>
    <x v="382"/>
    <x v="297"/>
    <x v="392"/>
    <x v="392"/>
    <x v="392"/>
    <x v="392"/>
    <x v="392"/>
    <x v="392"/>
    <x v="392"/>
    <x v="5"/>
  </r>
  <r>
    <x v="393"/>
    <x v="45"/>
    <x v="3"/>
    <x v="1"/>
    <x v="393"/>
    <x v="393"/>
    <x v="393"/>
    <x v="383"/>
    <x v="298"/>
    <x v="393"/>
    <x v="393"/>
    <x v="393"/>
    <x v="393"/>
    <x v="393"/>
    <x v="393"/>
    <x v="393"/>
    <x v="3"/>
  </r>
  <r>
    <x v="394"/>
    <x v="73"/>
    <x v="1"/>
    <x v="0"/>
    <x v="394"/>
    <x v="394"/>
    <x v="394"/>
    <x v="384"/>
    <x v="145"/>
    <x v="394"/>
    <x v="394"/>
    <x v="394"/>
    <x v="394"/>
    <x v="394"/>
    <x v="394"/>
    <x v="394"/>
    <x v="3"/>
  </r>
  <r>
    <x v="395"/>
    <x v="161"/>
    <x v="1"/>
    <x v="1"/>
    <x v="395"/>
    <x v="395"/>
    <x v="395"/>
    <x v="267"/>
    <x v="68"/>
    <x v="395"/>
    <x v="395"/>
    <x v="395"/>
    <x v="395"/>
    <x v="395"/>
    <x v="395"/>
    <x v="395"/>
    <x v="0"/>
  </r>
  <r>
    <x v="396"/>
    <x v="86"/>
    <x v="3"/>
    <x v="1"/>
    <x v="396"/>
    <x v="396"/>
    <x v="396"/>
    <x v="385"/>
    <x v="11"/>
    <x v="396"/>
    <x v="396"/>
    <x v="396"/>
    <x v="396"/>
    <x v="396"/>
    <x v="396"/>
    <x v="396"/>
    <x v="2"/>
  </r>
  <r>
    <x v="397"/>
    <x v="70"/>
    <x v="4"/>
    <x v="0"/>
    <x v="397"/>
    <x v="397"/>
    <x v="397"/>
    <x v="386"/>
    <x v="299"/>
    <x v="397"/>
    <x v="397"/>
    <x v="397"/>
    <x v="397"/>
    <x v="397"/>
    <x v="397"/>
    <x v="397"/>
    <x v="2"/>
  </r>
  <r>
    <x v="398"/>
    <x v="83"/>
    <x v="4"/>
    <x v="0"/>
    <x v="398"/>
    <x v="398"/>
    <x v="398"/>
    <x v="387"/>
    <x v="253"/>
    <x v="398"/>
    <x v="398"/>
    <x v="398"/>
    <x v="398"/>
    <x v="398"/>
    <x v="398"/>
    <x v="398"/>
    <x v="3"/>
  </r>
  <r>
    <x v="399"/>
    <x v="34"/>
    <x v="0"/>
    <x v="2"/>
    <x v="399"/>
    <x v="399"/>
    <x v="399"/>
    <x v="388"/>
    <x v="300"/>
    <x v="399"/>
    <x v="399"/>
    <x v="399"/>
    <x v="399"/>
    <x v="399"/>
    <x v="399"/>
    <x v="399"/>
    <x v="3"/>
  </r>
  <r>
    <x v="400"/>
    <x v="98"/>
    <x v="3"/>
    <x v="1"/>
    <x v="400"/>
    <x v="400"/>
    <x v="400"/>
    <x v="389"/>
    <x v="298"/>
    <x v="400"/>
    <x v="400"/>
    <x v="400"/>
    <x v="400"/>
    <x v="400"/>
    <x v="400"/>
    <x v="400"/>
    <x v="2"/>
  </r>
  <r>
    <x v="401"/>
    <x v="162"/>
    <x v="3"/>
    <x v="0"/>
    <x v="401"/>
    <x v="401"/>
    <x v="401"/>
    <x v="390"/>
    <x v="301"/>
    <x v="401"/>
    <x v="401"/>
    <x v="401"/>
    <x v="401"/>
    <x v="401"/>
    <x v="401"/>
    <x v="401"/>
    <x v="4"/>
  </r>
  <r>
    <x v="402"/>
    <x v="28"/>
    <x v="1"/>
    <x v="3"/>
    <x v="402"/>
    <x v="402"/>
    <x v="402"/>
    <x v="391"/>
    <x v="302"/>
    <x v="402"/>
    <x v="402"/>
    <x v="402"/>
    <x v="402"/>
    <x v="402"/>
    <x v="402"/>
    <x v="402"/>
    <x v="0"/>
  </r>
  <r>
    <x v="403"/>
    <x v="136"/>
    <x v="4"/>
    <x v="3"/>
    <x v="403"/>
    <x v="403"/>
    <x v="403"/>
    <x v="392"/>
    <x v="265"/>
    <x v="403"/>
    <x v="403"/>
    <x v="403"/>
    <x v="403"/>
    <x v="403"/>
    <x v="403"/>
    <x v="403"/>
    <x v="5"/>
  </r>
  <r>
    <x v="404"/>
    <x v="63"/>
    <x v="1"/>
    <x v="2"/>
    <x v="404"/>
    <x v="404"/>
    <x v="404"/>
    <x v="393"/>
    <x v="104"/>
    <x v="404"/>
    <x v="404"/>
    <x v="404"/>
    <x v="404"/>
    <x v="404"/>
    <x v="404"/>
    <x v="404"/>
    <x v="6"/>
  </r>
  <r>
    <x v="405"/>
    <x v="111"/>
    <x v="2"/>
    <x v="0"/>
    <x v="405"/>
    <x v="405"/>
    <x v="405"/>
    <x v="394"/>
    <x v="200"/>
    <x v="405"/>
    <x v="405"/>
    <x v="405"/>
    <x v="405"/>
    <x v="405"/>
    <x v="405"/>
    <x v="405"/>
    <x v="4"/>
  </r>
  <r>
    <x v="406"/>
    <x v="16"/>
    <x v="2"/>
    <x v="3"/>
    <x v="406"/>
    <x v="406"/>
    <x v="406"/>
    <x v="395"/>
    <x v="303"/>
    <x v="406"/>
    <x v="406"/>
    <x v="406"/>
    <x v="406"/>
    <x v="406"/>
    <x v="406"/>
    <x v="406"/>
    <x v="0"/>
  </r>
  <r>
    <x v="407"/>
    <x v="94"/>
    <x v="1"/>
    <x v="1"/>
    <x v="407"/>
    <x v="407"/>
    <x v="407"/>
    <x v="396"/>
    <x v="304"/>
    <x v="407"/>
    <x v="407"/>
    <x v="407"/>
    <x v="407"/>
    <x v="407"/>
    <x v="407"/>
    <x v="407"/>
    <x v="0"/>
  </r>
  <r>
    <x v="408"/>
    <x v="10"/>
    <x v="0"/>
    <x v="0"/>
    <x v="408"/>
    <x v="408"/>
    <x v="408"/>
    <x v="397"/>
    <x v="183"/>
    <x v="408"/>
    <x v="408"/>
    <x v="408"/>
    <x v="408"/>
    <x v="408"/>
    <x v="408"/>
    <x v="408"/>
    <x v="2"/>
  </r>
  <r>
    <x v="409"/>
    <x v="129"/>
    <x v="0"/>
    <x v="2"/>
    <x v="409"/>
    <x v="409"/>
    <x v="409"/>
    <x v="398"/>
    <x v="305"/>
    <x v="409"/>
    <x v="409"/>
    <x v="409"/>
    <x v="409"/>
    <x v="409"/>
    <x v="409"/>
    <x v="409"/>
    <x v="1"/>
  </r>
  <r>
    <x v="410"/>
    <x v="59"/>
    <x v="1"/>
    <x v="0"/>
    <x v="410"/>
    <x v="410"/>
    <x v="410"/>
    <x v="399"/>
    <x v="306"/>
    <x v="410"/>
    <x v="410"/>
    <x v="410"/>
    <x v="410"/>
    <x v="410"/>
    <x v="410"/>
    <x v="410"/>
    <x v="1"/>
  </r>
  <r>
    <x v="411"/>
    <x v="45"/>
    <x v="4"/>
    <x v="0"/>
    <x v="411"/>
    <x v="411"/>
    <x v="411"/>
    <x v="400"/>
    <x v="307"/>
    <x v="411"/>
    <x v="411"/>
    <x v="411"/>
    <x v="411"/>
    <x v="411"/>
    <x v="411"/>
    <x v="411"/>
    <x v="3"/>
  </r>
  <r>
    <x v="412"/>
    <x v="124"/>
    <x v="2"/>
    <x v="1"/>
    <x v="412"/>
    <x v="412"/>
    <x v="412"/>
    <x v="401"/>
    <x v="308"/>
    <x v="412"/>
    <x v="412"/>
    <x v="412"/>
    <x v="412"/>
    <x v="412"/>
    <x v="412"/>
    <x v="412"/>
    <x v="0"/>
  </r>
  <r>
    <x v="413"/>
    <x v="76"/>
    <x v="3"/>
    <x v="0"/>
    <x v="413"/>
    <x v="413"/>
    <x v="413"/>
    <x v="402"/>
    <x v="309"/>
    <x v="413"/>
    <x v="413"/>
    <x v="413"/>
    <x v="413"/>
    <x v="413"/>
    <x v="413"/>
    <x v="413"/>
    <x v="4"/>
  </r>
  <r>
    <x v="414"/>
    <x v="100"/>
    <x v="4"/>
    <x v="1"/>
    <x v="414"/>
    <x v="414"/>
    <x v="414"/>
    <x v="403"/>
    <x v="310"/>
    <x v="414"/>
    <x v="414"/>
    <x v="414"/>
    <x v="414"/>
    <x v="414"/>
    <x v="414"/>
    <x v="414"/>
    <x v="0"/>
  </r>
  <r>
    <x v="415"/>
    <x v="38"/>
    <x v="3"/>
    <x v="2"/>
    <x v="415"/>
    <x v="415"/>
    <x v="415"/>
    <x v="56"/>
    <x v="182"/>
    <x v="415"/>
    <x v="415"/>
    <x v="415"/>
    <x v="415"/>
    <x v="415"/>
    <x v="415"/>
    <x v="415"/>
    <x v="2"/>
  </r>
  <r>
    <x v="416"/>
    <x v="35"/>
    <x v="3"/>
    <x v="3"/>
    <x v="416"/>
    <x v="416"/>
    <x v="416"/>
    <x v="404"/>
    <x v="311"/>
    <x v="416"/>
    <x v="416"/>
    <x v="416"/>
    <x v="416"/>
    <x v="416"/>
    <x v="416"/>
    <x v="416"/>
    <x v="2"/>
  </r>
  <r>
    <x v="417"/>
    <x v="8"/>
    <x v="4"/>
    <x v="1"/>
    <x v="417"/>
    <x v="417"/>
    <x v="417"/>
    <x v="142"/>
    <x v="159"/>
    <x v="417"/>
    <x v="417"/>
    <x v="417"/>
    <x v="417"/>
    <x v="417"/>
    <x v="417"/>
    <x v="417"/>
    <x v="4"/>
  </r>
  <r>
    <x v="418"/>
    <x v="9"/>
    <x v="1"/>
    <x v="2"/>
    <x v="418"/>
    <x v="418"/>
    <x v="418"/>
    <x v="405"/>
    <x v="113"/>
    <x v="418"/>
    <x v="418"/>
    <x v="418"/>
    <x v="418"/>
    <x v="418"/>
    <x v="418"/>
    <x v="418"/>
    <x v="3"/>
  </r>
  <r>
    <x v="419"/>
    <x v="152"/>
    <x v="3"/>
    <x v="2"/>
    <x v="419"/>
    <x v="419"/>
    <x v="419"/>
    <x v="406"/>
    <x v="312"/>
    <x v="419"/>
    <x v="419"/>
    <x v="419"/>
    <x v="419"/>
    <x v="419"/>
    <x v="419"/>
    <x v="419"/>
    <x v="1"/>
  </r>
  <r>
    <x v="420"/>
    <x v="38"/>
    <x v="2"/>
    <x v="3"/>
    <x v="420"/>
    <x v="420"/>
    <x v="420"/>
    <x v="407"/>
    <x v="22"/>
    <x v="420"/>
    <x v="420"/>
    <x v="420"/>
    <x v="420"/>
    <x v="420"/>
    <x v="420"/>
    <x v="420"/>
    <x v="2"/>
  </r>
  <r>
    <x v="421"/>
    <x v="129"/>
    <x v="2"/>
    <x v="0"/>
    <x v="421"/>
    <x v="421"/>
    <x v="421"/>
    <x v="408"/>
    <x v="313"/>
    <x v="421"/>
    <x v="421"/>
    <x v="421"/>
    <x v="421"/>
    <x v="421"/>
    <x v="421"/>
    <x v="421"/>
    <x v="1"/>
  </r>
  <r>
    <x v="422"/>
    <x v="163"/>
    <x v="4"/>
    <x v="0"/>
    <x v="422"/>
    <x v="422"/>
    <x v="422"/>
    <x v="409"/>
    <x v="71"/>
    <x v="422"/>
    <x v="422"/>
    <x v="422"/>
    <x v="422"/>
    <x v="422"/>
    <x v="422"/>
    <x v="422"/>
    <x v="0"/>
  </r>
  <r>
    <x v="423"/>
    <x v="47"/>
    <x v="0"/>
    <x v="3"/>
    <x v="423"/>
    <x v="423"/>
    <x v="423"/>
    <x v="410"/>
    <x v="314"/>
    <x v="423"/>
    <x v="423"/>
    <x v="423"/>
    <x v="423"/>
    <x v="423"/>
    <x v="423"/>
    <x v="423"/>
    <x v="1"/>
  </r>
  <r>
    <x v="424"/>
    <x v="148"/>
    <x v="4"/>
    <x v="1"/>
    <x v="424"/>
    <x v="424"/>
    <x v="424"/>
    <x v="411"/>
    <x v="315"/>
    <x v="424"/>
    <x v="424"/>
    <x v="424"/>
    <x v="424"/>
    <x v="424"/>
    <x v="424"/>
    <x v="424"/>
    <x v="4"/>
  </r>
  <r>
    <x v="425"/>
    <x v="12"/>
    <x v="2"/>
    <x v="0"/>
    <x v="425"/>
    <x v="425"/>
    <x v="425"/>
    <x v="412"/>
    <x v="316"/>
    <x v="425"/>
    <x v="425"/>
    <x v="425"/>
    <x v="425"/>
    <x v="425"/>
    <x v="425"/>
    <x v="425"/>
    <x v="1"/>
  </r>
  <r>
    <x v="426"/>
    <x v="33"/>
    <x v="0"/>
    <x v="1"/>
    <x v="426"/>
    <x v="426"/>
    <x v="426"/>
    <x v="413"/>
    <x v="106"/>
    <x v="426"/>
    <x v="426"/>
    <x v="426"/>
    <x v="426"/>
    <x v="426"/>
    <x v="426"/>
    <x v="426"/>
    <x v="2"/>
  </r>
  <r>
    <x v="427"/>
    <x v="135"/>
    <x v="4"/>
    <x v="0"/>
    <x v="427"/>
    <x v="427"/>
    <x v="427"/>
    <x v="414"/>
    <x v="236"/>
    <x v="427"/>
    <x v="427"/>
    <x v="427"/>
    <x v="427"/>
    <x v="427"/>
    <x v="427"/>
    <x v="427"/>
    <x v="0"/>
  </r>
  <r>
    <x v="428"/>
    <x v="117"/>
    <x v="1"/>
    <x v="1"/>
    <x v="428"/>
    <x v="428"/>
    <x v="428"/>
    <x v="415"/>
    <x v="317"/>
    <x v="428"/>
    <x v="428"/>
    <x v="428"/>
    <x v="428"/>
    <x v="428"/>
    <x v="428"/>
    <x v="428"/>
    <x v="0"/>
  </r>
  <r>
    <x v="429"/>
    <x v="65"/>
    <x v="3"/>
    <x v="2"/>
    <x v="429"/>
    <x v="429"/>
    <x v="429"/>
    <x v="416"/>
    <x v="318"/>
    <x v="429"/>
    <x v="429"/>
    <x v="429"/>
    <x v="429"/>
    <x v="429"/>
    <x v="429"/>
    <x v="429"/>
    <x v="4"/>
  </r>
  <r>
    <x v="430"/>
    <x v="84"/>
    <x v="2"/>
    <x v="1"/>
    <x v="430"/>
    <x v="430"/>
    <x v="430"/>
    <x v="417"/>
    <x v="189"/>
    <x v="430"/>
    <x v="430"/>
    <x v="430"/>
    <x v="430"/>
    <x v="430"/>
    <x v="430"/>
    <x v="430"/>
    <x v="4"/>
  </r>
  <r>
    <x v="431"/>
    <x v="27"/>
    <x v="0"/>
    <x v="2"/>
    <x v="431"/>
    <x v="431"/>
    <x v="431"/>
    <x v="418"/>
    <x v="28"/>
    <x v="431"/>
    <x v="431"/>
    <x v="431"/>
    <x v="431"/>
    <x v="431"/>
    <x v="431"/>
    <x v="431"/>
    <x v="2"/>
  </r>
  <r>
    <x v="432"/>
    <x v="35"/>
    <x v="0"/>
    <x v="1"/>
    <x v="432"/>
    <x v="432"/>
    <x v="432"/>
    <x v="419"/>
    <x v="319"/>
    <x v="432"/>
    <x v="432"/>
    <x v="432"/>
    <x v="432"/>
    <x v="432"/>
    <x v="432"/>
    <x v="432"/>
    <x v="2"/>
  </r>
  <r>
    <x v="433"/>
    <x v="117"/>
    <x v="1"/>
    <x v="2"/>
    <x v="433"/>
    <x v="433"/>
    <x v="433"/>
    <x v="420"/>
    <x v="320"/>
    <x v="433"/>
    <x v="433"/>
    <x v="433"/>
    <x v="433"/>
    <x v="433"/>
    <x v="433"/>
    <x v="433"/>
    <x v="0"/>
  </r>
  <r>
    <x v="434"/>
    <x v="78"/>
    <x v="3"/>
    <x v="3"/>
    <x v="434"/>
    <x v="434"/>
    <x v="434"/>
    <x v="421"/>
    <x v="165"/>
    <x v="434"/>
    <x v="434"/>
    <x v="434"/>
    <x v="434"/>
    <x v="434"/>
    <x v="434"/>
    <x v="434"/>
    <x v="2"/>
  </r>
  <r>
    <x v="435"/>
    <x v="30"/>
    <x v="4"/>
    <x v="0"/>
    <x v="435"/>
    <x v="435"/>
    <x v="435"/>
    <x v="422"/>
    <x v="321"/>
    <x v="435"/>
    <x v="435"/>
    <x v="435"/>
    <x v="435"/>
    <x v="435"/>
    <x v="435"/>
    <x v="435"/>
    <x v="5"/>
  </r>
  <r>
    <x v="436"/>
    <x v="164"/>
    <x v="2"/>
    <x v="1"/>
    <x v="436"/>
    <x v="436"/>
    <x v="436"/>
    <x v="423"/>
    <x v="205"/>
    <x v="436"/>
    <x v="436"/>
    <x v="436"/>
    <x v="436"/>
    <x v="436"/>
    <x v="436"/>
    <x v="436"/>
    <x v="6"/>
  </r>
  <r>
    <x v="437"/>
    <x v="16"/>
    <x v="0"/>
    <x v="2"/>
    <x v="437"/>
    <x v="437"/>
    <x v="437"/>
    <x v="340"/>
    <x v="13"/>
    <x v="437"/>
    <x v="437"/>
    <x v="437"/>
    <x v="437"/>
    <x v="437"/>
    <x v="437"/>
    <x v="437"/>
    <x v="0"/>
  </r>
  <r>
    <x v="438"/>
    <x v="114"/>
    <x v="3"/>
    <x v="3"/>
    <x v="438"/>
    <x v="438"/>
    <x v="438"/>
    <x v="424"/>
    <x v="322"/>
    <x v="438"/>
    <x v="438"/>
    <x v="438"/>
    <x v="438"/>
    <x v="438"/>
    <x v="438"/>
    <x v="438"/>
    <x v="2"/>
  </r>
  <r>
    <x v="439"/>
    <x v="128"/>
    <x v="4"/>
    <x v="2"/>
    <x v="439"/>
    <x v="439"/>
    <x v="439"/>
    <x v="425"/>
    <x v="319"/>
    <x v="439"/>
    <x v="439"/>
    <x v="439"/>
    <x v="439"/>
    <x v="439"/>
    <x v="439"/>
    <x v="439"/>
    <x v="4"/>
  </r>
  <r>
    <x v="440"/>
    <x v="46"/>
    <x v="3"/>
    <x v="0"/>
    <x v="440"/>
    <x v="440"/>
    <x v="440"/>
    <x v="426"/>
    <x v="323"/>
    <x v="440"/>
    <x v="440"/>
    <x v="440"/>
    <x v="440"/>
    <x v="440"/>
    <x v="440"/>
    <x v="440"/>
    <x v="1"/>
  </r>
  <r>
    <x v="441"/>
    <x v="36"/>
    <x v="0"/>
    <x v="0"/>
    <x v="441"/>
    <x v="441"/>
    <x v="441"/>
    <x v="427"/>
    <x v="92"/>
    <x v="441"/>
    <x v="441"/>
    <x v="441"/>
    <x v="441"/>
    <x v="441"/>
    <x v="441"/>
    <x v="441"/>
    <x v="1"/>
  </r>
  <r>
    <x v="442"/>
    <x v="61"/>
    <x v="2"/>
    <x v="0"/>
    <x v="442"/>
    <x v="442"/>
    <x v="442"/>
    <x v="428"/>
    <x v="324"/>
    <x v="442"/>
    <x v="442"/>
    <x v="442"/>
    <x v="442"/>
    <x v="442"/>
    <x v="442"/>
    <x v="442"/>
    <x v="3"/>
  </r>
  <r>
    <x v="443"/>
    <x v="82"/>
    <x v="4"/>
    <x v="1"/>
    <x v="443"/>
    <x v="443"/>
    <x v="443"/>
    <x v="429"/>
    <x v="308"/>
    <x v="443"/>
    <x v="443"/>
    <x v="443"/>
    <x v="443"/>
    <x v="443"/>
    <x v="443"/>
    <x v="443"/>
    <x v="3"/>
  </r>
  <r>
    <x v="444"/>
    <x v="26"/>
    <x v="3"/>
    <x v="0"/>
    <x v="444"/>
    <x v="444"/>
    <x v="444"/>
    <x v="430"/>
    <x v="22"/>
    <x v="444"/>
    <x v="444"/>
    <x v="444"/>
    <x v="444"/>
    <x v="444"/>
    <x v="444"/>
    <x v="444"/>
    <x v="1"/>
  </r>
  <r>
    <x v="445"/>
    <x v="73"/>
    <x v="3"/>
    <x v="2"/>
    <x v="445"/>
    <x v="445"/>
    <x v="445"/>
    <x v="431"/>
    <x v="123"/>
    <x v="445"/>
    <x v="445"/>
    <x v="445"/>
    <x v="445"/>
    <x v="445"/>
    <x v="445"/>
    <x v="445"/>
    <x v="3"/>
  </r>
  <r>
    <x v="446"/>
    <x v="54"/>
    <x v="4"/>
    <x v="3"/>
    <x v="446"/>
    <x v="446"/>
    <x v="446"/>
    <x v="432"/>
    <x v="325"/>
    <x v="446"/>
    <x v="446"/>
    <x v="446"/>
    <x v="446"/>
    <x v="446"/>
    <x v="446"/>
    <x v="446"/>
    <x v="4"/>
  </r>
  <r>
    <x v="447"/>
    <x v="83"/>
    <x v="0"/>
    <x v="2"/>
    <x v="447"/>
    <x v="447"/>
    <x v="447"/>
    <x v="433"/>
    <x v="326"/>
    <x v="447"/>
    <x v="447"/>
    <x v="447"/>
    <x v="447"/>
    <x v="447"/>
    <x v="447"/>
    <x v="447"/>
    <x v="3"/>
  </r>
  <r>
    <x v="448"/>
    <x v="141"/>
    <x v="1"/>
    <x v="2"/>
    <x v="448"/>
    <x v="448"/>
    <x v="448"/>
    <x v="434"/>
    <x v="327"/>
    <x v="448"/>
    <x v="448"/>
    <x v="448"/>
    <x v="448"/>
    <x v="448"/>
    <x v="448"/>
    <x v="448"/>
    <x v="0"/>
  </r>
  <r>
    <x v="449"/>
    <x v="122"/>
    <x v="0"/>
    <x v="1"/>
    <x v="449"/>
    <x v="449"/>
    <x v="449"/>
    <x v="435"/>
    <x v="312"/>
    <x v="449"/>
    <x v="449"/>
    <x v="449"/>
    <x v="449"/>
    <x v="449"/>
    <x v="449"/>
    <x v="449"/>
    <x v="2"/>
  </r>
  <r>
    <x v="450"/>
    <x v="59"/>
    <x v="2"/>
    <x v="1"/>
    <x v="450"/>
    <x v="450"/>
    <x v="450"/>
    <x v="436"/>
    <x v="142"/>
    <x v="450"/>
    <x v="450"/>
    <x v="450"/>
    <x v="450"/>
    <x v="450"/>
    <x v="450"/>
    <x v="450"/>
    <x v="1"/>
  </r>
  <r>
    <x v="451"/>
    <x v="165"/>
    <x v="4"/>
    <x v="2"/>
    <x v="451"/>
    <x v="451"/>
    <x v="451"/>
    <x v="437"/>
    <x v="328"/>
    <x v="451"/>
    <x v="451"/>
    <x v="451"/>
    <x v="451"/>
    <x v="451"/>
    <x v="451"/>
    <x v="451"/>
    <x v="1"/>
  </r>
  <r>
    <x v="452"/>
    <x v="166"/>
    <x v="2"/>
    <x v="2"/>
    <x v="452"/>
    <x v="452"/>
    <x v="452"/>
    <x v="438"/>
    <x v="329"/>
    <x v="452"/>
    <x v="452"/>
    <x v="452"/>
    <x v="452"/>
    <x v="452"/>
    <x v="452"/>
    <x v="452"/>
    <x v="1"/>
  </r>
  <r>
    <x v="453"/>
    <x v="167"/>
    <x v="0"/>
    <x v="1"/>
    <x v="453"/>
    <x v="453"/>
    <x v="453"/>
    <x v="29"/>
    <x v="54"/>
    <x v="453"/>
    <x v="453"/>
    <x v="453"/>
    <x v="453"/>
    <x v="453"/>
    <x v="453"/>
    <x v="453"/>
    <x v="2"/>
  </r>
  <r>
    <x v="454"/>
    <x v="47"/>
    <x v="4"/>
    <x v="3"/>
    <x v="454"/>
    <x v="454"/>
    <x v="454"/>
    <x v="439"/>
    <x v="162"/>
    <x v="454"/>
    <x v="454"/>
    <x v="454"/>
    <x v="454"/>
    <x v="454"/>
    <x v="454"/>
    <x v="454"/>
    <x v="1"/>
  </r>
  <r>
    <x v="455"/>
    <x v="161"/>
    <x v="0"/>
    <x v="2"/>
    <x v="455"/>
    <x v="455"/>
    <x v="455"/>
    <x v="440"/>
    <x v="330"/>
    <x v="455"/>
    <x v="455"/>
    <x v="455"/>
    <x v="455"/>
    <x v="455"/>
    <x v="455"/>
    <x v="455"/>
    <x v="0"/>
  </r>
  <r>
    <x v="456"/>
    <x v="150"/>
    <x v="3"/>
    <x v="3"/>
    <x v="456"/>
    <x v="456"/>
    <x v="456"/>
    <x v="441"/>
    <x v="331"/>
    <x v="456"/>
    <x v="456"/>
    <x v="456"/>
    <x v="456"/>
    <x v="456"/>
    <x v="456"/>
    <x v="456"/>
    <x v="1"/>
  </r>
  <r>
    <x v="457"/>
    <x v="168"/>
    <x v="4"/>
    <x v="1"/>
    <x v="457"/>
    <x v="457"/>
    <x v="457"/>
    <x v="442"/>
    <x v="226"/>
    <x v="457"/>
    <x v="457"/>
    <x v="457"/>
    <x v="457"/>
    <x v="457"/>
    <x v="457"/>
    <x v="457"/>
    <x v="1"/>
  </r>
  <r>
    <x v="458"/>
    <x v="105"/>
    <x v="0"/>
    <x v="3"/>
    <x v="458"/>
    <x v="458"/>
    <x v="458"/>
    <x v="443"/>
    <x v="79"/>
    <x v="458"/>
    <x v="458"/>
    <x v="458"/>
    <x v="458"/>
    <x v="458"/>
    <x v="458"/>
    <x v="458"/>
    <x v="3"/>
  </r>
  <r>
    <x v="459"/>
    <x v="68"/>
    <x v="4"/>
    <x v="1"/>
    <x v="459"/>
    <x v="459"/>
    <x v="459"/>
    <x v="444"/>
    <x v="332"/>
    <x v="459"/>
    <x v="459"/>
    <x v="459"/>
    <x v="459"/>
    <x v="459"/>
    <x v="459"/>
    <x v="459"/>
    <x v="5"/>
  </r>
  <r>
    <x v="460"/>
    <x v="146"/>
    <x v="0"/>
    <x v="1"/>
    <x v="460"/>
    <x v="460"/>
    <x v="460"/>
    <x v="445"/>
    <x v="333"/>
    <x v="460"/>
    <x v="460"/>
    <x v="460"/>
    <x v="460"/>
    <x v="460"/>
    <x v="460"/>
    <x v="460"/>
    <x v="5"/>
  </r>
  <r>
    <x v="461"/>
    <x v="120"/>
    <x v="4"/>
    <x v="1"/>
    <x v="461"/>
    <x v="461"/>
    <x v="461"/>
    <x v="446"/>
    <x v="143"/>
    <x v="461"/>
    <x v="461"/>
    <x v="461"/>
    <x v="461"/>
    <x v="461"/>
    <x v="461"/>
    <x v="461"/>
    <x v="2"/>
  </r>
  <r>
    <x v="462"/>
    <x v="132"/>
    <x v="3"/>
    <x v="1"/>
    <x v="462"/>
    <x v="462"/>
    <x v="462"/>
    <x v="447"/>
    <x v="219"/>
    <x v="462"/>
    <x v="462"/>
    <x v="462"/>
    <x v="462"/>
    <x v="462"/>
    <x v="462"/>
    <x v="462"/>
    <x v="3"/>
  </r>
  <r>
    <x v="463"/>
    <x v="158"/>
    <x v="2"/>
    <x v="2"/>
    <x v="463"/>
    <x v="463"/>
    <x v="463"/>
    <x v="448"/>
    <x v="334"/>
    <x v="463"/>
    <x v="463"/>
    <x v="463"/>
    <x v="463"/>
    <x v="463"/>
    <x v="463"/>
    <x v="463"/>
    <x v="3"/>
  </r>
  <r>
    <x v="464"/>
    <x v="169"/>
    <x v="3"/>
    <x v="1"/>
    <x v="464"/>
    <x v="464"/>
    <x v="464"/>
    <x v="449"/>
    <x v="62"/>
    <x v="464"/>
    <x v="464"/>
    <x v="464"/>
    <x v="464"/>
    <x v="464"/>
    <x v="464"/>
    <x v="464"/>
    <x v="2"/>
  </r>
  <r>
    <x v="465"/>
    <x v="83"/>
    <x v="4"/>
    <x v="1"/>
    <x v="465"/>
    <x v="465"/>
    <x v="465"/>
    <x v="450"/>
    <x v="335"/>
    <x v="465"/>
    <x v="465"/>
    <x v="465"/>
    <x v="465"/>
    <x v="465"/>
    <x v="465"/>
    <x v="465"/>
    <x v="3"/>
  </r>
  <r>
    <x v="466"/>
    <x v="27"/>
    <x v="3"/>
    <x v="3"/>
    <x v="466"/>
    <x v="466"/>
    <x v="466"/>
    <x v="451"/>
    <x v="110"/>
    <x v="466"/>
    <x v="466"/>
    <x v="466"/>
    <x v="466"/>
    <x v="466"/>
    <x v="466"/>
    <x v="466"/>
    <x v="2"/>
  </r>
  <r>
    <x v="467"/>
    <x v="170"/>
    <x v="3"/>
    <x v="2"/>
    <x v="467"/>
    <x v="467"/>
    <x v="467"/>
    <x v="355"/>
    <x v="336"/>
    <x v="467"/>
    <x v="467"/>
    <x v="467"/>
    <x v="467"/>
    <x v="467"/>
    <x v="467"/>
    <x v="467"/>
    <x v="1"/>
  </r>
  <r>
    <x v="468"/>
    <x v="164"/>
    <x v="0"/>
    <x v="1"/>
    <x v="468"/>
    <x v="468"/>
    <x v="468"/>
    <x v="452"/>
    <x v="326"/>
    <x v="468"/>
    <x v="468"/>
    <x v="468"/>
    <x v="468"/>
    <x v="468"/>
    <x v="468"/>
    <x v="468"/>
    <x v="6"/>
  </r>
  <r>
    <x v="469"/>
    <x v="150"/>
    <x v="0"/>
    <x v="0"/>
    <x v="469"/>
    <x v="469"/>
    <x v="469"/>
    <x v="453"/>
    <x v="128"/>
    <x v="469"/>
    <x v="469"/>
    <x v="469"/>
    <x v="469"/>
    <x v="469"/>
    <x v="469"/>
    <x v="469"/>
    <x v="1"/>
  </r>
  <r>
    <x v="470"/>
    <x v="44"/>
    <x v="0"/>
    <x v="2"/>
    <x v="470"/>
    <x v="470"/>
    <x v="470"/>
    <x v="454"/>
    <x v="261"/>
    <x v="470"/>
    <x v="470"/>
    <x v="470"/>
    <x v="470"/>
    <x v="470"/>
    <x v="470"/>
    <x v="470"/>
    <x v="0"/>
  </r>
  <r>
    <x v="471"/>
    <x v="57"/>
    <x v="4"/>
    <x v="1"/>
    <x v="471"/>
    <x v="471"/>
    <x v="471"/>
    <x v="455"/>
    <x v="18"/>
    <x v="471"/>
    <x v="471"/>
    <x v="471"/>
    <x v="471"/>
    <x v="471"/>
    <x v="471"/>
    <x v="471"/>
    <x v="5"/>
  </r>
  <r>
    <x v="472"/>
    <x v="1"/>
    <x v="3"/>
    <x v="2"/>
    <x v="472"/>
    <x v="472"/>
    <x v="472"/>
    <x v="456"/>
    <x v="99"/>
    <x v="472"/>
    <x v="472"/>
    <x v="472"/>
    <x v="472"/>
    <x v="472"/>
    <x v="472"/>
    <x v="472"/>
    <x v="1"/>
  </r>
  <r>
    <x v="473"/>
    <x v="171"/>
    <x v="4"/>
    <x v="1"/>
    <x v="473"/>
    <x v="473"/>
    <x v="473"/>
    <x v="457"/>
    <x v="184"/>
    <x v="473"/>
    <x v="473"/>
    <x v="473"/>
    <x v="473"/>
    <x v="473"/>
    <x v="473"/>
    <x v="473"/>
    <x v="0"/>
  </r>
  <r>
    <x v="474"/>
    <x v="125"/>
    <x v="3"/>
    <x v="2"/>
    <x v="474"/>
    <x v="474"/>
    <x v="474"/>
    <x v="458"/>
    <x v="55"/>
    <x v="474"/>
    <x v="474"/>
    <x v="474"/>
    <x v="474"/>
    <x v="474"/>
    <x v="474"/>
    <x v="474"/>
    <x v="1"/>
  </r>
  <r>
    <x v="475"/>
    <x v="47"/>
    <x v="4"/>
    <x v="2"/>
    <x v="475"/>
    <x v="475"/>
    <x v="475"/>
    <x v="459"/>
    <x v="337"/>
    <x v="475"/>
    <x v="475"/>
    <x v="475"/>
    <x v="475"/>
    <x v="475"/>
    <x v="475"/>
    <x v="475"/>
    <x v="1"/>
  </r>
  <r>
    <x v="476"/>
    <x v="48"/>
    <x v="1"/>
    <x v="3"/>
    <x v="476"/>
    <x v="476"/>
    <x v="476"/>
    <x v="460"/>
    <x v="338"/>
    <x v="476"/>
    <x v="476"/>
    <x v="476"/>
    <x v="476"/>
    <x v="476"/>
    <x v="476"/>
    <x v="476"/>
    <x v="1"/>
  </r>
  <r>
    <x v="477"/>
    <x v="28"/>
    <x v="3"/>
    <x v="3"/>
    <x v="477"/>
    <x v="477"/>
    <x v="477"/>
    <x v="461"/>
    <x v="339"/>
    <x v="477"/>
    <x v="477"/>
    <x v="477"/>
    <x v="477"/>
    <x v="477"/>
    <x v="477"/>
    <x v="477"/>
    <x v="0"/>
  </r>
  <r>
    <x v="478"/>
    <x v="103"/>
    <x v="4"/>
    <x v="1"/>
    <x v="478"/>
    <x v="478"/>
    <x v="478"/>
    <x v="462"/>
    <x v="11"/>
    <x v="478"/>
    <x v="478"/>
    <x v="478"/>
    <x v="478"/>
    <x v="478"/>
    <x v="478"/>
    <x v="478"/>
    <x v="0"/>
  </r>
  <r>
    <x v="479"/>
    <x v="137"/>
    <x v="0"/>
    <x v="3"/>
    <x v="479"/>
    <x v="479"/>
    <x v="479"/>
    <x v="463"/>
    <x v="240"/>
    <x v="479"/>
    <x v="479"/>
    <x v="479"/>
    <x v="479"/>
    <x v="479"/>
    <x v="479"/>
    <x v="479"/>
    <x v="2"/>
  </r>
  <r>
    <x v="480"/>
    <x v="54"/>
    <x v="1"/>
    <x v="3"/>
    <x v="480"/>
    <x v="480"/>
    <x v="480"/>
    <x v="464"/>
    <x v="202"/>
    <x v="480"/>
    <x v="480"/>
    <x v="480"/>
    <x v="480"/>
    <x v="480"/>
    <x v="480"/>
    <x v="480"/>
    <x v="4"/>
  </r>
  <r>
    <x v="481"/>
    <x v="117"/>
    <x v="0"/>
    <x v="1"/>
    <x v="481"/>
    <x v="481"/>
    <x v="481"/>
    <x v="465"/>
    <x v="334"/>
    <x v="481"/>
    <x v="481"/>
    <x v="481"/>
    <x v="481"/>
    <x v="481"/>
    <x v="481"/>
    <x v="481"/>
    <x v="0"/>
  </r>
  <r>
    <x v="482"/>
    <x v="54"/>
    <x v="2"/>
    <x v="2"/>
    <x v="482"/>
    <x v="482"/>
    <x v="482"/>
    <x v="466"/>
    <x v="171"/>
    <x v="482"/>
    <x v="482"/>
    <x v="482"/>
    <x v="482"/>
    <x v="482"/>
    <x v="482"/>
    <x v="482"/>
    <x v="4"/>
  </r>
  <r>
    <x v="483"/>
    <x v="80"/>
    <x v="1"/>
    <x v="1"/>
    <x v="483"/>
    <x v="483"/>
    <x v="483"/>
    <x v="467"/>
    <x v="340"/>
    <x v="483"/>
    <x v="483"/>
    <x v="483"/>
    <x v="483"/>
    <x v="483"/>
    <x v="483"/>
    <x v="483"/>
    <x v="2"/>
  </r>
  <r>
    <x v="484"/>
    <x v="77"/>
    <x v="3"/>
    <x v="1"/>
    <x v="484"/>
    <x v="484"/>
    <x v="484"/>
    <x v="468"/>
    <x v="341"/>
    <x v="484"/>
    <x v="484"/>
    <x v="484"/>
    <x v="484"/>
    <x v="484"/>
    <x v="484"/>
    <x v="484"/>
    <x v="2"/>
  </r>
  <r>
    <x v="485"/>
    <x v="1"/>
    <x v="4"/>
    <x v="2"/>
    <x v="485"/>
    <x v="485"/>
    <x v="485"/>
    <x v="469"/>
    <x v="288"/>
    <x v="485"/>
    <x v="485"/>
    <x v="485"/>
    <x v="485"/>
    <x v="485"/>
    <x v="485"/>
    <x v="485"/>
    <x v="1"/>
  </r>
  <r>
    <x v="486"/>
    <x v="140"/>
    <x v="4"/>
    <x v="2"/>
    <x v="486"/>
    <x v="486"/>
    <x v="486"/>
    <x v="470"/>
    <x v="342"/>
    <x v="486"/>
    <x v="486"/>
    <x v="486"/>
    <x v="486"/>
    <x v="486"/>
    <x v="486"/>
    <x v="486"/>
    <x v="4"/>
  </r>
  <r>
    <x v="487"/>
    <x v="108"/>
    <x v="0"/>
    <x v="3"/>
    <x v="487"/>
    <x v="487"/>
    <x v="487"/>
    <x v="471"/>
    <x v="343"/>
    <x v="487"/>
    <x v="487"/>
    <x v="487"/>
    <x v="487"/>
    <x v="487"/>
    <x v="487"/>
    <x v="487"/>
    <x v="4"/>
  </r>
  <r>
    <x v="488"/>
    <x v="87"/>
    <x v="2"/>
    <x v="2"/>
    <x v="488"/>
    <x v="488"/>
    <x v="488"/>
    <x v="472"/>
    <x v="139"/>
    <x v="488"/>
    <x v="488"/>
    <x v="488"/>
    <x v="488"/>
    <x v="488"/>
    <x v="488"/>
    <x v="488"/>
    <x v="1"/>
  </r>
  <r>
    <x v="489"/>
    <x v="8"/>
    <x v="3"/>
    <x v="1"/>
    <x v="489"/>
    <x v="489"/>
    <x v="489"/>
    <x v="473"/>
    <x v="344"/>
    <x v="489"/>
    <x v="489"/>
    <x v="489"/>
    <x v="489"/>
    <x v="489"/>
    <x v="489"/>
    <x v="489"/>
    <x v="4"/>
  </r>
  <r>
    <x v="490"/>
    <x v="172"/>
    <x v="3"/>
    <x v="0"/>
    <x v="490"/>
    <x v="490"/>
    <x v="490"/>
    <x v="474"/>
    <x v="345"/>
    <x v="490"/>
    <x v="490"/>
    <x v="490"/>
    <x v="490"/>
    <x v="490"/>
    <x v="490"/>
    <x v="490"/>
    <x v="3"/>
  </r>
  <r>
    <x v="491"/>
    <x v="172"/>
    <x v="4"/>
    <x v="0"/>
    <x v="491"/>
    <x v="491"/>
    <x v="491"/>
    <x v="475"/>
    <x v="346"/>
    <x v="491"/>
    <x v="491"/>
    <x v="491"/>
    <x v="491"/>
    <x v="491"/>
    <x v="491"/>
    <x v="491"/>
    <x v="3"/>
  </r>
  <r>
    <x v="492"/>
    <x v="120"/>
    <x v="2"/>
    <x v="0"/>
    <x v="492"/>
    <x v="492"/>
    <x v="492"/>
    <x v="476"/>
    <x v="347"/>
    <x v="492"/>
    <x v="492"/>
    <x v="492"/>
    <x v="492"/>
    <x v="492"/>
    <x v="492"/>
    <x v="492"/>
    <x v="2"/>
  </r>
  <r>
    <x v="493"/>
    <x v="135"/>
    <x v="1"/>
    <x v="0"/>
    <x v="493"/>
    <x v="493"/>
    <x v="493"/>
    <x v="477"/>
    <x v="348"/>
    <x v="493"/>
    <x v="493"/>
    <x v="493"/>
    <x v="493"/>
    <x v="493"/>
    <x v="493"/>
    <x v="493"/>
    <x v="0"/>
  </r>
  <r>
    <x v="494"/>
    <x v="60"/>
    <x v="3"/>
    <x v="2"/>
    <x v="494"/>
    <x v="494"/>
    <x v="494"/>
    <x v="432"/>
    <x v="349"/>
    <x v="494"/>
    <x v="494"/>
    <x v="494"/>
    <x v="494"/>
    <x v="494"/>
    <x v="494"/>
    <x v="494"/>
    <x v="4"/>
  </r>
  <r>
    <x v="495"/>
    <x v="46"/>
    <x v="3"/>
    <x v="3"/>
    <x v="495"/>
    <x v="495"/>
    <x v="495"/>
    <x v="478"/>
    <x v="350"/>
    <x v="495"/>
    <x v="495"/>
    <x v="495"/>
    <x v="495"/>
    <x v="495"/>
    <x v="495"/>
    <x v="495"/>
    <x v="1"/>
  </r>
  <r>
    <x v="496"/>
    <x v="160"/>
    <x v="4"/>
    <x v="2"/>
    <x v="496"/>
    <x v="496"/>
    <x v="496"/>
    <x v="479"/>
    <x v="270"/>
    <x v="496"/>
    <x v="496"/>
    <x v="496"/>
    <x v="496"/>
    <x v="496"/>
    <x v="496"/>
    <x v="496"/>
    <x v="4"/>
  </r>
  <r>
    <x v="497"/>
    <x v="64"/>
    <x v="1"/>
    <x v="0"/>
    <x v="497"/>
    <x v="497"/>
    <x v="497"/>
    <x v="303"/>
    <x v="329"/>
    <x v="497"/>
    <x v="497"/>
    <x v="497"/>
    <x v="497"/>
    <x v="497"/>
    <x v="497"/>
    <x v="497"/>
    <x v="5"/>
  </r>
  <r>
    <x v="498"/>
    <x v="71"/>
    <x v="2"/>
    <x v="1"/>
    <x v="498"/>
    <x v="498"/>
    <x v="498"/>
    <x v="480"/>
    <x v="18"/>
    <x v="498"/>
    <x v="498"/>
    <x v="498"/>
    <x v="498"/>
    <x v="498"/>
    <x v="498"/>
    <x v="498"/>
    <x v="0"/>
  </r>
  <r>
    <x v="499"/>
    <x v="98"/>
    <x v="3"/>
    <x v="0"/>
    <x v="499"/>
    <x v="499"/>
    <x v="499"/>
    <x v="481"/>
    <x v="154"/>
    <x v="499"/>
    <x v="499"/>
    <x v="499"/>
    <x v="499"/>
    <x v="499"/>
    <x v="499"/>
    <x v="4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>
  <location ref="B3:G9" firstHeaderRow="0" firstDataRow="1" firstDataCol="1"/>
  <pivotFields count="1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>
      <items count="174">
        <item x="64"/>
        <item x="109"/>
        <item x="121"/>
        <item x="68"/>
        <item x="81"/>
        <item x="118"/>
        <item x="37"/>
        <item x="116"/>
        <item x="142"/>
        <item x="53"/>
        <item x="13"/>
        <item x="123"/>
        <item x="91"/>
        <item x="139"/>
        <item x="136"/>
        <item x="30"/>
        <item x="57"/>
        <item x="146"/>
        <item x="126"/>
        <item x="143"/>
        <item x="125"/>
        <item x="165"/>
        <item x="102"/>
        <item x="41"/>
        <item x="101"/>
        <item x="156"/>
        <item x="113"/>
        <item x="170"/>
        <item x="46"/>
        <item x="74"/>
        <item x="17"/>
        <item x="168"/>
        <item x="36"/>
        <item x="12"/>
        <item x="85"/>
        <item x="1"/>
        <item x="129"/>
        <item x="134"/>
        <item x="26"/>
        <item x="87"/>
        <item x="166"/>
        <item x="47"/>
        <item x="48"/>
        <item x="89"/>
        <item x="150"/>
        <item x="59"/>
        <item x="152"/>
        <item x="127"/>
        <item x="8"/>
        <item x="14"/>
        <item x="138"/>
        <item x="43"/>
        <item x="157"/>
        <item x="140"/>
        <item x="111"/>
        <item x="84"/>
        <item x="60"/>
        <item x="160"/>
        <item x="99"/>
        <item x="32"/>
        <item x="112"/>
        <item x="22"/>
        <item x="49"/>
        <item x="162"/>
        <item x="67"/>
        <item x="128"/>
        <item x="108"/>
        <item x="76"/>
        <item x="54"/>
        <item x="29"/>
        <item x="62"/>
        <item x="65"/>
        <item x="148"/>
        <item x="90"/>
        <item x="79"/>
        <item x="55"/>
        <item x="106"/>
        <item x="83"/>
        <item x="75"/>
        <item x="24"/>
        <item x="34"/>
        <item x="61"/>
        <item x="15"/>
        <item x="42"/>
        <item x="45"/>
        <item x="172"/>
        <item x="115"/>
        <item x="133"/>
        <item x="66"/>
        <item x="132"/>
        <item x="56"/>
        <item x="82"/>
        <item x="158"/>
        <item x="153"/>
        <item x="145"/>
        <item x="105"/>
        <item x="73"/>
        <item x="149"/>
        <item x="9"/>
        <item x="147"/>
        <item x="6"/>
        <item x="52"/>
        <item x="35"/>
        <item x="131"/>
        <item x="167"/>
        <item x="2"/>
        <item x="77"/>
        <item x="23"/>
        <item x="10"/>
        <item x="31"/>
        <item x="7"/>
        <item x="58"/>
        <item x="122"/>
        <item x="33"/>
        <item x="151"/>
        <item x="169"/>
        <item x="96"/>
        <item x="38"/>
        <item x="5"/>
        <item x="114"/>
        <item x="21"/>
        <item x="70"/>
        <item x="27"/>
        <item x="51"/>
        <item x="88"/>
        <item x="98"/>
        <item x="50"/>
        <item x="137"/>
        <item x="78"/>
        <item x="80"/>
        <item x="120"/>
        <item x="86"/>
        <item x="103"/>
        <item x="71"/>
        <item x="0"/>
        <item x="107"/>
        <item x="171"/>
        <item x="104"/>
        <item x="19"/>
        <item x="39"/>
        <item x="161"/>
        <item x="93"/>
        <item x="155"/>
        <item x="97"/>
        <item x="110"/>
        <item x="4"/>
        <item x="130"/>
        <item x="100"/>
        <item x="154"/>
        <item x="163"/>
        <item x="124"/>
        <item x="40"/>
        <item x="141"/>
        <item x="135"/>
        <item x="94"/>
        <item x="69"/>
        <item x="28"/>
        <item x="16"/>
        <item x="117"/>
        <item x="11"/>
        <item x="44"/>
        <item x="3"/>
        <item x="92"/>
        <item x="25"/>
        <item x="20"/>
        <item x="164"/>
        <item x="144"/>
        <item x="72"/>
        <item x="18"/>
        <item x="159"/>
        <item x="95"/>
        <item x="119"/>
        <item x="63"/>
        <item t="default"/>
      </items>
    </pivotField>
    <pivotField axis="axisRow" compact="0" showAll="0">
      <items count="6">
        <item x="1"/>
        <item x="0"/>
        <item x="4"/>
        <item x="3"/>
        <item x="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01">
        <item x="24"/>
        <item x="315"/>
        <item x="152"/>
        <item x="280"/>
        <item x="57"/>
        <item x="312"/>
        <item x="294"/>
        <item x="79"/>
        <item x="349"/>
        <item x="104"/>
        <item x="411"/>
        <item x="14"/>
        <item x="95"/>
        <item x="97"/>
        <item x="472"/>
        <item x="56"/>
        <item x="474"/>
        <item x="162"/>
        <item x="398"/>
        <item x="319"/>
        <item x="100"/>
        <item x="434"/>
        <item x="176"/>
        <item x="471"/>
        <item x="2"/>
        <item x="346"/>
        <item x="123"/>
        <item x="118"/>
        <item x="446"/>
        <item x="224"/>
        <item x="320"/>
        <item x="67"/>
        <item x="282"/>
        <item x="201"/>
        <item x="372"/>
        <item x="74"/>
        <item x="124"/>
        <item x="113"/>
        <item x="296"/>
        <item x="425"/>
        <item x="33"/>
        <item x="41"/>
        <item x="182"/>
        <item x="111"/>
        <item x="250"/>
        <item x="143"/>
        <item x="153"/>
        <item x="30"/>
        <item x="44"/>
        <item x="98"/>
        <item x="196"/>
        <item x="387"/>
        <item x="373"/>
        <item x="455"/>
        <item x="310"/>
        <item x="7"/>
        <item x="478"/>
        <item x="242"/>
        <item x="22"/>
        <item x="426"/>
        <item x="192"/>
        <item x="173"/>
        <item x="407"/>
        <item x="267"/>
        <item x="106"/>
        <item x="388"/>
        <item x="37"/>
        <item x="460"/>
        <item x="404"/>
        <item x="243"/>
        <item x="432"/>
        <item x="467"/>
        <item x="200"/>
        <item x="464"/>
        <item x="199"/>
        <item x="114"/>
        <item x="365"/>
        <item x="129"/>
        <item x="295"/>
        <item x="456"/>
        <item x="457"/>
        <item x="289"/>
        <item x="442"/>
        <item x="5"/>
        <item x="413"/>
        <item x="39"/>
        <item x="285"/>
        <item x="78"/>
        <item x="19"/>
        <item x="470"/>
        <item x="202"/>
        <item x="300"/>
        <item x="207"/>
        <item x="284"/>
        <item x="214"/>
        <item x="187"/>
        <item x="486"/>
        <item x="99"/>
        <item x="441"/>
        <item x="405"/>
        <item x="293"/>
        <item x="156"/>
        <item x="71"/>
        <item x="444"/>
        <item x="36"/>
        <item x="344"/>
        <item x="363"/>
        <item x="248"/>
        <item x="357"/>
        <item x="221"/>
        <item x="195"/>
        <item x="63"/>
        <item x="231"/>
        <item x="75"/>
        <item x="222"/>
        <item x="440"/>
        <item x="458"/>
        <item x="179"/>
        <item x="254"/>
        <item x="35"/>
        <item x="336"/>
        <item x="47"/>
        <item x="236"/>
        <item x="227"/>
        <item x="461"/>
        <item x="193"/>
        <item x="391"/>
        <item x="325"/>
        <item x="420"/>
        <item x="103"/>
        <item x="409"/>
        <item x="164"/>
        <item x="229"/>
        <item x="48"/>
        <item x="223"/>
        <item x="96"/>
        <item x="232"/>
        <item x="423"/>
        <item x="396"/>
        <item x="247"/>
        <item x="12"/>
        <item x="28"/>
        <item x="34"/>
        <item x="125"/>
        <item x="45"/>
        <item x="401"/>
        <item x="230"/>
        <item x="72"/>
        <item x="428"/>
        <item x="139"/>
        <item x="274"/>
        <item x="251"/>
        <item x="273"/>
        <item x="234"/>
        <item x="436"/>
        <item x="60"/>
        <item x="256"/>
        <item x="261"/>
        <item x="238"/>
        <item x="65"/>
        <item x="188"/>
        <item x="429"/>
        <item x="165"/>
        <item x="356"/>
        <item x="110"/>
        <item x="220"/>
        <item x="21"/>
        <item x="26"/>
        <item x="279"/>
        <item x="219"/>
        <item x="46"/>
        <item x="495"/>
        <item x="81"/>
        <item x="449"/>
        <item x="376"/>
        <item x="497"/>
        <item x="290"/>
        <item x="0"/>
        <item x="116"/>
        <item x="155"/>
        <item x="94"/>
        <item x="172"/>
        <item x="213"/>
        <item x="303"/>
        <item x="59"/>
        <item x="120"/>
        <item x="496"/>
        <item x="20"/>
        <item x="321"/>
        <item x="422"/>
        <item x="430"/>
        <item x="288"/>
        <item x="185"/>
        <item x="491"/>
        <item x="489"/>
        <item x="291"/>
        <item x="318"/>
        <item x="408"/>
        <item x="268"/>
        <item x="308"/>
        <item x="82"/>
        <item x="218"/>
        <item x="6"/>
        <item x="329"/>
        <item x="493"/>
        <item x="305"/>
        <item x="189"/>
        <item x="246"/>
        <item x="13"/>
        <item x="142"/>
        <item x="481"/>
        <item x="333"/>
        <item x="438"/>
        <item x="277"/>
        <item x="287"/>
        <item x="463"/>
        <item x="421"/>
        <item x="8"/>
        <item x="447"/>
        <item x="499"/>
        <item x="175"/>
        <item x="323"/>
        <item x="233"/>
        <item x="417"/>
        <item x="307"/>
        <item x="51"/>
        <item x="419"/>
        <item x="194"/>
        <item x="141"/>
        <item x="379"/>
        <item x="377"/>
        <item x="326"/>
        <item x="443"/>
        <item x="278"/>
        <item x="77"/>
        <item x="49"/>
        <item x="134"/>
        <item x="264"/>
        <item x="389"/>
        <item x="43"/>
        <item x="190"/>
        <item x="9"/>
        <item x="459"/>
        <item x="477"/>
        <item x="102"/>
        <item x="32"/>
        <item x="311"/>
        <item x="158"/>
        <item x="211"/>
        <item x="212"/>
        <item x="167"/>
        <item x="371"/>
        <item x="217"/>
        <item x="393"/>
        <item x="309"/>
        <item x="249"/>
        <item x="494"/>
        <item x="121"/>
        <item x="16"/>
        <item x="70"/>
        <item x="375"/>
        <item x="184"/>
        <item x="159"/>
        <item x="85"/>
        <item x="31"/>
        <item x="286"/>
        <item x="381"/>
        <item x="490"/>
        <item x="339"/>
        <item x="255"/>
        <item x="86"/>
        <item x="313"/>
        <item x="397"/>
        <item x="301"/>
        <item x="262"/>
        <item x="119"/>
        <item x="331"/>
        <item x="272"/>
        <item x="453"/>
        <item x="283"/>
        <item x="237"/>
        <item x="18"/>
        <item x="1"/>
        <item x="498"/>
        <item x="68"/>
        <item x="10"/>
        <item x="364"/>
        <item x="109"/>
        <item x="362"/>
        <item x="170"/>
        <item x="115"/>
        <item x="390"/>
        <item x="466"/>
        <item x="144"/>
        <item x="208"/>
        <item x="252"/>
        <item x="191"/>
        <item x="454"/>
        <item x="27"/>
        <item x="304"/>
        <item x="415"/>
        <item x="353"/>
        <item x="161"/>
        <item x="204"/>
        <item x="160"/>
        <item x="138"/>
        <item x="394"/>
        <item x="38"/>
        <item x="54"/>
        <item x="101"/>
        <item x="29"/>
        <item x="476"/>
        <item x="197"/>
        <item x="58"/>
        <item x="445"/>
        <item x="487"/>
        <item x="314"/>
        <item x="406"/>
        <item x="335"/>
        <item x="15"/>
        <item x="69"/>
        <item x="468"/>
        <item x="317"/>
        <item x="244"/>
        <item x="298"/>
        <item x="181"/>
        <item x="52"/>
        <item x="359"/>
        <item x="483"/>
        <item x="378"/>
        <item x="402"/>
        <item x="168"/>
        <item x="418"/>
        <item x="431"/>
        <item x="203"/>
        <item x="482"/>
        <item x="260"/>
        <item x="105"/>
        <item x="345"/>
        <item x="266"/>
        <item x="127"/>
        <item x="340"/>
        <item x="384"/>
        <item x="145"/>
        <item x="427"/>
        <item x="89"/>
        <item x="479"/>
        <item x="338"/>
        <item x="146"/>
        <item x="433"/>
        <item x="3"/>
        <item x="210"/>
        <item x="107"/>
        <item x="292"/>
        <item x="322"/>
        <item x="259"/>
        <item x="451"/>
        <item x="328"/>
        <item x="53"/>
        <item x="25"/>
        <item x="439"/>
        <item x="324"/>
        <item x="128"/>
        <item x="276"/>
        <item x="355"/>
        <item x="241"/>
        <item x="448"/>
        <item x="154"/>
        <item x="209"/>
        <item x="385"/>
        <item x="149"/>
        <item x="133"/>
        <item x="186"/>
        <item x="369"/>
        <item x="400"/>
        <item x="306"/>
        <item x="352"/>
        <item x="354"/>
        <item x="178"/>
        <item x="327"/>
        <item x="414"/>
        <item x="183"/>
        <item x="462"/>
        <item x="17"/>
        <item x="131"/>
        <item x="150"/>
        <item x="366"/>
        <item x="392"/>
        <item x="424"/>
        <item x="360"/>
        <item x="253"/>
        <item x="216"/>
        <item x="347"/>
        <item x="140"/>
        <item x="93"/>
        <item x="258"/>
        <item x="382"/>
        <item x="92"/>
        <item x="351"/>
        <item x="330"/>
        <item x="469"/>
        <item x="206"/>
        <item x="40"/>
        <item x="492"/>
        <item x="90"/>
        <item x="148"/>
        <item x="126"/>
        <item x="370"/>
        <item x="62"/>
        <item x="302"/>
        <item x="42"/>
        <item x="169"/>
        <item x="380"/>
        <item x="465"/>
        <item x="343"/>
        <item x="4"/>
        <item x="55"/>
        <item x="257"/>
        <item x="73"/>
        <item x="84"/>
        <item x="83"/>
        <item x="112"/>
        <item x="297"/>
        <item x="117"/>
        <item x="132"/>
        <item x="342"/>
        <item x="374"/>
        <item x="412"/>
        <item x="171"/>
        <item x="450"/>
        <item x="383"/>
        <item x="484"/>
        <item x="435"/>
        <item x="386"/>
        <item x="265"/>
        <item x="334"/>
        <item x="316"/>
        <item x="350"/>
        <item x="245"/>
        <item x="61"/>
        <item x="88"/>
        <item x="361"/>
        <item x="348"/>
        <item x="66"/>
        <item x="163"/>
        <item x="215"/>
        <item x="76"/>
        <item x="410"/>
        <item x="437"/>
        <item x="135"/>
        <item x="299"/>
        <item x="198"/>
        <item x="64"/>
        <item x="452"/>
        <item x="136"/>
        <item x="151"/>
        <item x="50"/>
        <item x="91"/>
        <item x="332"/>
        <item x="275"/>
        <item x="271"/>
        <item x="416"/>
        <item x="205"/>
        <item x="269"/>
        <item x="228"/>
        <item x="485"/>
        <item x="473"/>
        <item x="395"/>
        <item x="240"/>
        <item x="80"/>
        <item x="263"/>
        <item x="11"/>
        <item x="137"/>
        <item x="180"/>
        <item x="108"/>
        <item x="281"/>
        <item x="122"/>
        <item x="239"/>
        <item x="475"/>
        <item x="399"/>
        <item x="367"/>
        <item x="226"/>
        <item x="157"/>
        <item x="480"/>
        <item x="174"/>
        <item x="341"/>
        <item x="166"/>
        <item x="225"/>
        <item x="270"/>
        <item x="147"/>
        <item x="23"/>
        <item x="337"/>
        <item x="358"/>
        <item x="235"/>
        <item x="87"/>
        <item x="130"/>
        <item x="368"/>
        <item x="403"/>
        <item x="488"/>
        <item x="177"/>
        <item t="default"/>
      </items>
    </pivotField>
    <pivotField dataField="1" compact="0" showAll="0">
      <items count="501">
        <item x="315"/>
        <item x="294"/>
        <item x="472"/>
        <item x="474"/>
        <item x="319"/>
        <item x="446"/>
        <item x="123"/>
        <item x="152"/>
        <item x="162"/>
        <item x="57"/>
        <item x="201"/>
        <item x="33"/>
        <item x="67"/>
        <item x="95"/>
        <item x="280"/>
        <item x="346"/>
        <item x="111"/>
        <item x="79"/>
        <item x="24"/>
        <item x="153"/>
        <item x="411"/>
        <item x="56"/>
        <item x="478"/>
        <item x="143"/>
        <item x="100"/>
        <item x="296"/>
        <item x="434"/>
        <item x="425"/>
        <item x="471"/>
        <item x="41"/>
        <item x="196"/>
        <item x="74"/>
        <item x="312"/>
        <item x="349"/>
        <item x="467"/>
        <item x="224"/>
        <item x="97"/>
        <item x="104"/>
        <item x="44"/>
        <item x="118"/>
        <item x="432"/>
        <item x="14"/>
        <item x="113"/>
        <item x="320"/>
        <item x="387"/>
        <item x="285"/>
        <item x="243"/>
        <item x="398"/>
        <item x="7"/>
        <item x="19"/>
        <item x="106"/>
        <item x="176"/>
        <item x="300"/>
        <item x="199"/>
        <item x="2"/>
        <item x="365"/>
        <item x="124"/>
        <item x="200"/>
        <item x="470"/>
        <item x="456"/>
        <item x="98"/>
        <item x="405"/>
        <item x="357"/>
        <item x="407"/>
        <item x="187"/>
        <item x="36"/>
        <item x="426"/>
        <item x="182"/>
        <item x="460"/>
        <item x="5"/>
        <item x="195"/>
        <item x="344"/>
        <item x="372"/>
        <item x="221"/>
        <item x="63"/>
        <item x="30"/>
        <item x="114"/>
        <item x="231"/>
        <item x="282"/>
        <item x="267"/>
        <item x="293"/>
        <item x="173"/>
        <item x="455"/>
        <item x="464"/>
        <item x="222"/>
        <item x="440"/>
        <item x="214"/>
        <item x="202"/>
        <item x="48"/>
        <item x="207"/>
        <item x="227"/>
        <item x="250"/>
        <item x="242"/>
        <item x="22"/>
        <item x="373"/>
        <item x="310"/>
        <item x="295"/>
        <item x="164"/>
        <item x="12"/>
        <item x="223"/>
        <item x="404"/>
        <item x="388"/>
        <item x="192"/>
        <item x="129"/>
        <item x="35"/>
        <item x="429"/>
        <item x="179"/>
        <item x="442"/>
        <item x="78"/>
        <item x="99"/>
        <item x="37"/>
        <item x="60"/>
        <item x="336"/>
        <item x="251"/>
        <item x="81"/>
        <item x="486"/>
        <item x="234"/>
        <item x="457"/>
        <item x="193"/>
        <item x="47"/>
        <item x="289"/>
        <item x="213"/>
        <item x="413"/>
        <item x="103"/>
        <item x="39"/>
        <item x="26"/>
        <item x="261"/>
        <item x="71"/>
        <item x="28"/>
        <item x="94"/>
        <item x="325"/>
        <item x="291"/>
        <item x="391"/>
        <item x="284"/>
        <item x="461"/>
        <item x="236"/>
        <item x="308"/>
        <item x="254"/>
        <item x="430"/>
        <item x="356"/>
        <item x="21"/>
        <item x="497"/>
        <item x="230"/>
        <item x="232"/>
        <item x="96"/>
        <item x="185"/>
        <item x="274"/>
        <item x="376"/>
        <item x="290"/>
        <item x="248"/>
        <item x="34"/>
        <item x="441"/>
        <item x="421"/>
        <item x="156"/>
        <item x="155"/>
        <item x="401"/>
        <item x="363"/>
        <item x="458"/>
        <item x="45"/>
        <item x="20"/>
        <item x="218"/>
        <item x="428"/>
        <item x="444"/>
        <item x="420"/>
        <item x="321"/>
        <item x="423"/>
        <item x="13"/>
        <item x="229"/>
        <item x="495"/>
        <item x="75"/>
        <item x="396"/>
        <item x="277"/>
        <item x="247"/>
        <item x="491"/>
        <item x="333"/>
        <item x="389"/>
        <item x="419"/>
        <item x="141"/>
        <item x="329"/>
        <item x="139"/>
        <item x="49"/>
        <item x="417"/>
        <item x="188"/>
        <item x="377"/>
        <item x="165"/>
        <item x="6"/>
        <item x="496"/>
        <item x="305"/>
        <item x="463"/>
        <item x="409"/>
        <item x="279"/>
        <item x="72"/>
        <item x="422"/>
        <item x="318"/>
        <item x="494"/>
        <item x="219"/>
        <item x="125"/>
        <item x="303"/>
        <item x="65"/>
        <item x="246"/>
        <item x="116"/>
        <item x="273"/>
        <item x="211"/>
        <item x="436"/>
        <item x="288"/>
        <item x="110"/>
        <item x="256"/>
        <item x="375"/>
        <item x="120"/>
        <item x="311"/>
        <item x="286"/>
        <item x="499"/>
        <item x="194"/>
        <item x="86"/>
        <item x="175"/>
        <item x="68"/>
        <item x="16"/>
        <item x="238"/>
        <item x="212"/>
        <item x="283"/>
        <item x="172"/>
        <item x="408"/>
        <item x="287"/>
        <item x="102"/>
        <item x="459"/>
        <item x="278"/>
        <item x="220"/>
        <item x="167"/>
        <item x="46"/>
        <item x="43"/>
        <item x="144"/>
        <item x="1"/>
        <item x="268"/>
        <item x="204"/>
        <item x="0"/>
        <item x="379"/>
        <item x="233"/>
        <item x="438"/>
        <item x="381"/>
        <item x="69"/>
        <item x="449"/>
        <item x="59"/>
        <item x="10"/>
        <item x="32"/>
        <item x="415"/>
        <item x="362"/>
        <item x="489"/>
        <item x="313"/>
        <item x="477"/>
        <item x="443"/>
        <item x="487"/>
        <item x="493"/>
        <item x="323"/>
        <item x="326"/>
        <item x="77"/>
        <item x="203"/>
        <item x="397"/>
        <item x="197"/>
        <item x="378"/>
        <item x="58"/>
        <item x="8"/>
        <item x="3"/>
        <item x="433"/>
        <item x="264"/>
        <item x="9"/>
        <item x="481"/>
        <item x="331"/>
        <item x="445"/>
        <item x="189"/>
        <item x="142"/>
        <item x="145"/>
        <item x="262"/>
        <item x="317"/>
        <item x="82"/>
        <item x="146"/>
        <item x="301"/>
        <item x="272"/>
        <item x="217"/>
        <item x="371"/>
        <item x="298"/>
        <item x="168"/>
        <item x="447"/>
        <item x="27"/>
        <item x="184"/>
        <item x="208"/>
        <item x="209"/>
        <item x="406"/>
        <item x="439"/>
        <item x="400"/>
        <item x="359"/>
        <item x="309"/>
        <item x="109"/>
        <item x="237"/>
        <item x="170"/>
        <item x="304"/>
        <item x="15"/>
        <item x="479"/>
        <item x="190"/>
        <item x="134"/>
        <item x="307"/>
        <item x="424"/>
        <item x="133"/>
        <item x="70"/>
        <item x="364"/>
        <item x="138"/>
        <item x="327"/>
        <item x="340"/>
        <item x="385"/>
        <item x="324"/>
        <item x="306"/>
        <item x="360"/>
        <item x="392"/>
        <item x="51"/>
        <item x="252"/>
        <item x="462"/>
        <item x="345"/>
        <item x="355"/>
        <item x="490"/>
        <item x="343"/>
        <item x="322"/>
        <item x="54"/>
        <item x="31"/>
        <item x="89"/>
        <item x="255"/>
        <item x="253"/>
        <item x="468"/>
        <item x="161"/>
        <item x="498"/>
        <item x="115"/>
        <item x="418"/>
        <item x="258"/>
        <item x="105"/>
        <item x="402"/>
        <item x="454"/>
        <item x="249"/>
        <item x="244"/>
        <item x="158"/>
        <item x="386"/>
        <item x="53"/>
        <item x="171"/>
        <item x="121"/>
        <item x="483"/>
        <item x="393"/>
        <item x="466"/>
        <item x="85"/>
        <item x="299"/>
        <item x="160"/>
        <item x="257"/>
        <item x="339"/>
        <item x="159"/>
        <item x="149"/>
        <item x="370"/>
        <item x="260"/>
        <item x="181"/>
        <item x="101"/>
        <item x="448"/>
        <item x="131"/>
        <item x="4"/>
        <item x="276"/>
        <item x="451"/>
        <item x="347"/>
        <item x="366"/>
        <item x="427"/>
        <item x="335"/>
        <item x="453"/>
        <item x="328"/>
        <item x="119"/>
        <item x="126"/>
        <item x="352"/>
        <item x="136"/>
        <item x="205"/>
        <item x="18"/>
        <item x="354"/>
        <item x="191"/>
        <item x="151"/>
        <item x="127"/>
        <item x="475"/>
        <item x="353"/>
        <item x="302"/>
        <item x="38"/>
        <item x="384"/>
        <item x="332"/>
        <item x="52"/>
        <item x="476"/>
        <item x="55"/>
        <item x="314"/>
        <item x="380"/>
        <item x="29"/>
        <item x="157"/>
        <item x="241"/>
        <item x="83"/>
        <item x="107"/>
        <item x="292"/>
        <item x="390"/>
        <item x="154"/>
        <item x="84"/>
        <item x="394"/>
        <item x="61"/>
        <item x="183"/>
        <item x="410"/>
        <item x="216"/>
        <item x="480"/>
        <item x="431"/>
        <item x="488"/>
        <item x="263"/>
        <item x="50"/>
        <item x="150"/>
        <item x="239"/>
        <item x="186"/>
        <item x="240"/>
        <item x="465"/>
        <item x="259"/>
        <item x="281"/>
        <item x="225"/>
        <item x="482"/>
        <item x="25"/>
        <item x="87"/>
        <item x="132"/>
        <item x="369"/>
        <item x="245"/>
        <item x="469"/>
        <item x="62"/>
        <item x="128"/>
        <item x="266"/>
        <item x="368"/>
        <item x="135"/>
        <item x="412"/>
        <item x="275"/>
        <item x="473"/>
        <item x="210"/>
        <item x="92"/>
        <item x="338"/>
        <item x="382"/>
        <item x="452"/>
        <item x="163"/>
        <item x="330"/>
        <item x="198"/>
        <item x="350"/>
        <item x="484"/>
        <item x="450"/>
        <item x="414"/>
        <item x="206"/>
        <item x="140"/>
        <item x="269"/>
        <item x="492"/>
        <item x="235"/>
        <item x="73"/>
        <item x="316"/>
        <item x="437"/>
        <item x="91"/>
        <item x="117"/>
        <item x="215"/>
        <item x="147"/>
        <item x="90"/>
        <item x="348"/>
        <item x="178"/>
        <item x="112"/>
        <item x="17"/>
        <item x="93"/>
        <item x="76"/>
        <item x="130"/>
        <item x="383"/>
        <item x="228"/>
        <item x="358"/>
        <item x="64"/>
        <item x="435"/>
        <item x="42"/>
        <item x="40"/>
        <item x="403"/>
        <item x="334"/>
        <item x="416"/>
        <item x="88"/>
        <item x="148"/>
        <item x="374"/>
        <item x="297"/>
        <item x="351"/>
        <item x="169"/>
        <item x="180"/>
        <item x="342"/>
        <item x="66"/>
        <item x="485"/>
        <item x="395"/>
        <item x="265"/>
        <item x="108"/>
        <item x="361"/>
        <item x="271"/>
        <item x="399"/>
        <item x="23"/>
        <item x="174"/>
        <item x="226"/>
        <item x="270"/>
        <item x="80"/>
        <item x="367"/>
        <item x="122"/>
        <item x="137"/>
        <item x="11"/>
        <item x="341"/>
        <item x="337"/>
        <item x="166"/>
        <item x="177"/>
        <item t="default"/>
      </items>
    </pivotField>
    <pivotField compact="0" numFmtId="3" showAll="0">
      <items count="501">
        <item x="313"/>
        <item x="269"/>
        <item x="401"/>
        <item x="99"/>
        <item x="492"/>
        <item x="272"/>
        <item x="215"/>
        <item x="167"/>
        <item x="163"/>
        <item x="121"/>
        <item x="362"/>
        <item x="243"/>
        <item x="213"/>
        <item x="8"/>
        <item x="294"/>
        <item x="189"/>
        <item x="319"/>
        <item x="386"/>
        <item x="11"/>
        <item x="76"/>
        <item x="482"/>
        <item x="426"/>
        <item x="186"/>
        <item x="212"/>
        <item x="459"/>
        <item x="150"/>
        <item x="371"/>
        <item x="346"/>
        <item x="216"/>
        <item x="96"/>
        <item x="139"/>
        <item x="181"/>
        <item x="15"/>
        <item x="473"/>
        <item x="233"/>
        <item x="48"/>
        <item x="353"/>
        <item x="284"/>
        <item x="126"/>
        <item x="464"/>
        <item x="405"/>
        <item x="490"/>
        <item x="7"/>
        <item x="49"/>
        <item x="1"/>
        <item x="236"/>
        <item x="244"/>
        <item x="407"/>
        <item x="472"/>
        <item x="286"/>
        <item x="117"/>
        <item x="234"/>
        <item x="123"/>
        <item x="348"/>
        <item x="454"/>
        <item x="273"/>
        <item x="495"/>
        <item x="336"/>
        <item x="389"/>
        <item x="316"/>
        <item x="338"/>
        <item x="289"/>
        <item x="498"/>
        <item x="422"/>
        <item x="366"/>
        <item x="12"/>
        <item x="175"/>
        <item x="32"/>
        <item x="30"/>
        <item x="396"/>
        <item x="242"/>
        <item x="276"/>
        <item x="278"/>
        <item x="144"/>
        <item x="416"/>
        <item x="152"/>
        <item x="253"/>
        <item x="283"/>
        <item x="469"/>
        <item x="180"/>
        <item x="6"/>
        <item x="462"/>
        <item x="71"/>
        <item x="437"/>
        <item x="494"/>
        <item x="29"/>
        <item x="232"/>
        <item x="474"/>
        <item x="267"/>
        <item x="39"/>
        <item x="340"/>
        <item x="260"/>
        <item x="471"/>
        <item x="322"/>
        <item x="169"/>
        <item x="64"/>
        <item x="191"/>
        <item x="420"/>
        <item x="14"/>
        <item x="328"/>
        <item x="365"/>
        <item x="143"/>
        <item x="154"/>
        <item x="133"/>
        <item x="52"/>
        <item x="263"/>
        <item x="285"/>
        <item x="239"/>
        <item x="36"/>
        <item x="55"/>
        <item x="61"/>
        <item x="235"/>
        <item x="308"/>
        <item x="128"/>
        <item x="57"/>
        <item x="28"/>
        <item x="145"/>
        <item x="83"/>
        <item x="357"/>
        <item x="194"/>
        <item x="91"/>
        <item x="329"/>
        <item x="417"/>
        <item x="485"/>
        <item x="440"/>
        <item x="227"/>
        <item x="321"/>
        <item x="192"/>
        <item x="361"/>
        <item x="74"/>
        <item x="38"/>
        <item x="158"/>
        <item x="318"/>
        <item x="248"/>
        <item x="84"/>
        <item x="375"/>
        <item x="224"/>
        <item x="457"/>
        <item x="393"/>
        <item x="3"/>
        <item x="403"/>
        <item x="228"/>
        <item x="178"/>
        <item x="282"/>
        <item x="415"/>
        <item x="306"/>
        <item x="75"/>
        <item x="68"/>
        <item x="427"/>
        <item x="317"/>
        <item x="201"/>
        <item x="165"/>
        <item x="452"/>
        <item x="453"/>
        <item x="447"/>
        <item x="86"/>
        <item x="314"/>
        <item x="113"/>
        <item x="356"/>
        <item x="225"/>
        <item x="296"/>
        <item x="488"/>
        <item x="279"/>
        <item x="47"/>
        <item x="203"/>
        <item x="468"/>
        <item x="288"/>
        <item x="54"/>
        <item x="430"/>
        <item x="93"/>
        <item x="484"/>
        <item x="43"/>
        <item x="252"/>
        <item x="77"/>
        <item x="342"/>
        <item x="141"/>
        <item x="171"/>
        <item x="277"/>
        <item x="246"/>
        <item x="326"/>
        <item x="351"/>
        <item x="369"/>
        <item x="73"/>
        <item x="497"/>
        <item x="418"/>
        <item x="442"/>
        <item x="254"/>
        <item x="204"/>
        <item x="237"/>
        <item x="465"/>
        <item x="168"/>
        <item x="327"/>
        <item x="78"/>
        <item x="298"/>
        <item x="460"/>
        <item x="429"/>
        <item x="226"/>
        <item x="332"/>
        <item x="53"/>
        <item x="358"/>
        <item x="290"/>
        <item x="190"/>
        <item x="487"/>
        <item x="219"/>
        <item x="18"/>
        <item x="446"/>
        <item x="179"/>
        <item x="2"/>
        <item x="412"/>
        <item x="206"/>
        <item x="35"/>
        <item x="45"/>
        <item x="37"/>
        <item x="176"/>
        <item x="325"/>
        <item x="157"/>
        <item x="410"/>
        <item x="333"/>
        <item x="481"/>
        <item x="378"/>
        <item x="95"/>
        <item x="335"/>
        <item x="458"/>
        <item x="24"/>
        <item x="385"/>
        <item x="449"/>
        <item x="370"/>
        <item x="480"/>
        <item x="305"/>
        <item x="211"/>
        <item x="409"/>
        <item x="160"/>
        <item x="388"/>
        <item x="255"/>
        <item x="161"/>
        <item x="104"/>
        <item x="0"/>
        <item x="441"/>
        <item x="97"/>
        <item x="257"/>
        <item x="59"/>
        <item x="195"/>
        <item x="79"/>
        <item x="182"/>
        <item x="337"/>
        <item x="119"/>
        <item x="281"/>
        <item x="368"/>
        <item x="382"/>
        <item x="310"/>
        <item x="90"/>
        <item x="13"/>
        <item x="159"/>
        <item x="264"/>
        <item x="461"/>
        <item x="5"/>
        <item x="200"/>
        <item x="112"/>
        <item x="146"/>
        <item x="367"/>
        <item x="400"/>
        <item x="20"/>
        <item x="271"/>
        <item x="177"/>
        <item x="411"/>
        <item x="98"/>
        <item x="127"/>
        <item x="166"/>
        <item x="147"/>
        <item x="377"/>
        <item x="66"/>
        <item x="184"/>
        <item x="421"/>
        <item x="303"/>
        <item x="349"/>
        <item x="372"/>
        <item x="218"/>
        <item x="183"/>
        <item x="89"/>
        <item x="23"/>
        <item x="111"/>
        <item x="428"/>
        <item x="230"/>
        <item x="106"/>
        <item x="19"/>
        <item x="359"/>
        <item x="295"/>
        <item x="343"/>
        <item x="63"/>
        <item x="172"/>
        <item x="438"/>
        <item x="245"/>
        <item x="62"/>
        <item x="137"/>
        <item x="208"/>
        <item x="92"/>
        <item x="404"/>
        <item x="82"/>
        <item x="70"/>
        <item x="470"/>
        <item x="22"/>
        <item x="222"/>
        <item x="131"/>
        <item x="125"/>
        <item x="81"/>
        <item x="499"/>
        <item x="390"/>
        <item x="251"/>
        <item x="198"/>
        <item x="85"/>
        <item x="320"/>
        <item x="435"/>
        <item x="249"/>
        <item x="466"/>
        <item x="174"/>
        <item x="432"/>
        <item x="419"/>
        <item x="27"/>
        <item x="132"/>
        <item x="443"/>
        <item x="60"/>
        <item x="394"/>
        <item x="26"/>
        <item x="108"/>
        <item x="376"/>
        <item x="287"/>
        <item x="58"/>
        <item x="34"/>
        <item x="100"/>
        <item x="486"/>
        <item x="110"/>
        <item x="266"/>
        <item x="451"/>
        <item x="196"/>
        <item x="399"/>
        <item x="229"/>
        <item x="120"/>
        <item x="408"/>
        <item x="450"/>
        <item x="142"/>
        <item x="118"/>
        <item x="330"/>
        <item x="476"/>
        <item x="197"/>
        <item x="483"/>
        <item x="103"/>
        <item x="424"/>
        <item x="496"/>
        <item x="297"/>
        <item x="364"/>
        <item x="88"/>
        <item x="344"/>
        <item x="149"/>
        <item x="202"/>
        <item x="315"/>
        <item x="31"/>
        <item x="265"/>
        <item x="238"/>
        <item x="56"/>
        <item x="87"/>
        <item x="193"/>
        <item x="270"/>
        <item x="324"/>
        <item x="21"/>
        <item x="258"/>
        <item x="44"/>
        <item x="241"/>
        <item x="312"/>
        <item x="205"/>
        <item x="339"/>
        <item x="493"/>
        <item x="187"/>
        <item x="240"/>
        <item x="402"/>
        <item x="413"/>
        <item x="50"/>
        <item x="436"/>
        <item x="156"/>
        <item x="292"/>
        <item x="148"/>
        <item x="67"/>
        <item x="94"/>
        <item x="124"/>
        <item x="301"/>
        <item x="136"/>
        <item x="363"/>
        <item x="380"/>
        <item x="395"/>
        <item x="491"/>
        <item x="122"/>
        <item x="334"/>
        <item x="262"/>
        <item x="489"/>
        <item x="188"/>
        <item x="217"/>
        <item x="135"/>
        <item x="185"/>
        <item x="151"/>
        <item x="51"/>
        <item x="42"/>
        <item x="384"/>
        <item x="352"/>
        <item x="479"/>
        <item x="280"/>
        <item x="199"/>
        <item x="304"/>
        <item x="114"/>
        <item x="331"/>
        <item x="383"/>
        <item x="448"/>
        <item x="302"/>
        <item x="72"/>
        <item x="162"/>
        <item x="444"/>
        <item x="138"/>
        <item x="433"/>
        <item x="46"/>
        <item x="309"/>
        <item x="475"/>
        <item x="102"/>
        <item x="391"/>
        <item x="105"/>
        <item x="414"/>
        <item x="360"/>
        <item x="17"/>
        <item x="40"/>
        <item x="214"/>
        <item x="107"/>
        <item x="275"/>
        <item x="231"/>
        <item x="247"/>
        <item x="434"/>
        <item x="423"/>
        <item x="41"/>
        <item x="307"/>
        <item x="398"/>
        <item x="431"/>
        <item x="65"/>
        <item x="381"/>
        <item x="155"/>
        <item x="478"/>
        <item x="116"/>
        <item x="374"/>
        <item x="373"/>
        <item x="323"/>
        <item x="9"/>
        <item x="220"/>
        <item x="379"/>
        <item x="109"/>
        <item x="16"/>
        <item x="445"/>
        <item x="392"/>
        <item x="25"/>
        <item x="153"/>
        <item x="80"/>
        <item x="425"/>
        <item x="355"/>
        <item x="207"/>
        <item x="33"/>
        <item x="101"/>
        <item x="439"/>
        <item x="261"/>
        <item x="4"/>
        <item x="173"/>
        <item x="210"/>
        <item x="69"/>
        <item x="274"/>
        <item x="293"/>
        <item x="300"/>
        <item x="455"/>
        <item x="347"/>
        <item x="406"/>
        <item x="256"/>
        <item x="397"/>
        <item x="170"/>
        <item x="463"/>
        <item x="354"/>
        <item x="456"/>
        <item x="345"/>
        <item x="259"/>
        <item x="10"/>
        <item x="209"/>
        <item x="291"/>
        <item x="299"/>
        <item x="134"/>
        <item x="350"/>
        <item x="115"/>
        <item x="268"/>
        <item x="341"/>
        <item x="387"/>
        <item x="130"/>
        <item x="250"/>
        <item x="221"/>
        <item x="311"/>
        <item x="164"/>
        <item x="467"/>
        <item x="140"/>
        <item x="223"/>
        <item x="129"/>
        <item x="477"/>
        <item t="default"/>
      </items>
    </pivotField>
    <pivotField compact="0" numFmtId="3" showAll="0">
      <items count="483">
        <item x="346"/>
        <item x="407"/>
        <item x="281"/>
        <item x="444"/>
        <item x="345"/>
        <item x="315"/>
        <item x="284"/>
        <item x="338"/>
        <item x="335"/>
        <item x="266"/>
        <item x="464"/>
        <item x="1"/>
        <item x="168"/>
        <item x="188"/>
        <item x="300"/>
        <item x="12"/>
        <item x="243"/>
        <item x="187"/>
        <item x="280"/>
        <item x="174"/>
        <item x="269"/>
        <item x="116"/>
        <item x="278"/>
        <item x="404"/>
        <item x="38"/>
        <item x="125"/>
        <item x="83"/>
        <item x="306"/>
        <item x="90"/>
        <item x="328"/>
        <item x="217"/>
        <item x="438"/>
        <item x="180"/>
        <item x="157"/>
        <item x="417"/>
        <item x="70"/>
        <item x="223"/>
        <item x="225"/>
        <item x="6"/>
        <item x="194"/>
        <item x="15"/>
        <item x="375"/>
        <item x="199"/>
        <item x="252"/>
        <item x="144"/>
        <item x="387"/>
        <item x="88"/>
        <item x="356"/>
        <item x="43"/>
        <item x="385"/>
        <item x="46"/>
        <item x="179"/>
        <item x="98"/>
        <item x="357"/>
        <item x="398"/>
        <item x="109"/>
        <item x="20"/>
        <item x="160"/>
        <item x="222"/>
        <item x="218"/>
        <item x="195"/>
        <item x="476"/>
        <item x="227"/>
        <item x="334"/>
        <item x="214"/>
        <item x="142"/>
        <item x="478"/>
        <item x="446"/>
        <item x="226"/>
        <item x="390"/>
        <item x="201"/>
        <item x="24"/>
        <item x="156"/>
        <item x="86"/>
        <item x="307"/>
        <item x="84"/>
        <item x="313"/>
        <item x="138"/>
        <item x="205"/>
        <item x="124"/>
        <item x="383"/>
        <item x="21"/>
        <item x="136"/>
        <item x="213"/>
        <item x="185"/>
        <item x="312"/>
        <item x="240"/>
        <item x="35"/>
        <item x="449"/>
        <item x="122"/>
        <item x="162"/>
        <item x="198"/>
        <item x="190"/>
        <item x="113"/>
        <item x="60"/>
        <item x="426"/>
        <item x="326"/>
        <item x="351"/>
        <item x="63"/>
        <item x="259"/>
        <item x="282"/>
        <item x="447"/>
        <item x="49"/>
        <item x="427"/>
        <item x="166"/>
        <item x="366"/>
        <item x="74"/>
        <item x="92"/>
        <item x="360"/>
        <item x="106"/>
        <item x="413"/>
        <item x="75"/>
        <item x="409"/>
        <item x="112"/>
        <item x="104"/>
        <item x="352"/>
        <item x="149"/>
        <item x="145"/>
        <item x="425"/>
        <item x="87"/>
        <item x="14"/>
        <item x="289"/>
        <item x="394"/>
        <item x="339"/>
        <item x="361"/>
        <item x="353"/>
        <item x="8"/>
        <item x="120"/>
        <item x="340"/>
        <item x="11"/>
        <item x="260"/>
        <item x="76"/>
        <item x="256"/>
        <item x="53"/>
        <item x="228"/>
        <item x="241"/>
        <item x="466"/>
        <item x="321"/>
        <item x="211"/>
        <item x="412"/>
        <item x="28"/>
        <item x="203"/>
        <item x="433"/>
        <item x="389"/>
        <item x="54"/>
        <item x="403"/>
        <item x="318"/>
        <item x="457"/>
        <item x="432"/>
        <item x="30"/>
        <item x="453"/>
        <item x="58"/>
        <item x="237"/>
        <item x="100"/>
        <item x="182"/>
        <item x="164"/>
        <item x="192"/>
        <item x="238"/>
        <item x="264"/>
        <item x="108"/>
        <item x="64"/>
        <item x="210"/>
        <item x="277"/>
        <item x="468"/>
        <item x="103"/>
        <item x="52"/>
        <item x="292"/>
        <item x="50"/>
        <item x="209"/>
        <item x="119"/>
        <item x="55"/>
        <item x="290"/>
        <item x="141"/>
        <item x="458"/>
        <item x="242"/>
        <item x="415"/>
        <item x="320"/>
        <item x="465"/>
        <item x="72"/>
        <item x="107"/>
        <item x="153"/>
        <item x="235"/>
        <item x="301"/>
        <item x="254"/>
        <item x="184"/>
        <item x="17"/>
        <item x="143"/>
        <item x="250"/>
        <item x="414"/>
        <item x="93"/>
        <item x="460"/>
        <item x="469"/>
        <item x="274"/>
        <item x="95"/>
        <item x="376"/>
        <item x="448"/>
        <item x="479"/>
        <item x="324"/>
        <item x="396"/>
        <item x="73"/>
        <item x="39"/>
        <item x="384"/>
        <item x="7"/>
        <item x="248"/>
        <item x="461"/>
        <item x="135"/>
        <item x="365"/>
        <item x="31"/>
        <item x="29"/>
        <item x="231"/>
        <item x="303"/>
        <item x="257"/>
        <item x="380"/>
        <item x="474"/>
        <item x="196"/>
        <item x="78"/>
        <item x="48"/>
        <item x="272"/>
        <item x="26"/>
        <item x="392"/>
        <item x="456"/>
        <item x="97"/>
        <item x="177"/>
        <item x="310"/>
        <item x="47"/>
        <item x="69"/>
        <item x="146"/>
        <item x="13"/>
        <item x="51"/>
        <item x="158"/>
        <item x="59"/>
        <item x="234"/>
        <item x="251"/>
        <item x="167"/>
        <item x="56"/>
        <item x="319"/>
        <item x="455"/>
        <item x="480"/>
        <item x="232"/>
        <item x="379"/>
        <item x="110"/>
        <item x="57"/>
        <item x="151"/>
        <item x="439"/>
        <item x="327"/>
        <item x="399"/>
        <item x="279"/>
        <item x="442"/>
        <item x="336"/>
        <item x="132"/>
        <item x="249"/>
        <item x="370"/>
        <item x="330"/>
        <item x="189"/>
        <item x="295"/>
        <item x="161"/>
        <item x="350"/>
        <item x="42"/>
        <item x="220"/>
        <item x="424"/>
        <item x="230"/>
        <item x="175"/>
        <item x="267"/>
        <item x="118"/>
        <item x="171"/>
        <item x="347"/>
        <item x="82"/>
        <item x="405"/>
        <item x="286"/>
        <item x="239"/>
        <item x="322"/>
        <item x="467"/>
        <item x="332"/>
        <item x="475"/>
        <item x="421"/>
        <item x="27"/>
        <item x="348"/>
        <item x="37"/>
        <item x="288"/>
        <item x="129"/>
        <item x="61"/>
        <item x="193"/>
        <item x="451"/>
        <item x="462"/>
        <item x="245"/>
        <item x="3"/>
        <item x="202"/>
        <item x="233"/>
        <item x="170"/>
        <item x="207"/>
        <item x="163"/>
        <item x="127"/>
        <item x="212"/>
        <item x="428"/>
        <item x="378"/>
        <item x="358"/>
        <item x="67"/>
        <item x="349"/>
        <item x="165"/>
        <item x="419"/>
        <item x="81"/>
        <item x="200"/>
        <item x="18"/>
        <item x="105"/>
        <item x="329"/>
        <item x="121"/>
        <item x="246"/>
        <item x="372"/>
        <item x="299"/>
        <item x="393"/>
        <item x="96"/>
        <item x="94"/>
        <item x="80"/>
        <item x="85"/>
        <item x="206"/>
        <item x="178"/>
        <item x="343"/>
        <item x="452"/>
        <item x="445"/>
        <item x="443"/>
        <item x="273"/>
        <item x="296"/>
        <item x="402"/>
        <item x="440"/>
        <item x="261"/>
        <item x="155"/>
        <item x="253"/>
        <item x="262"/>
        <item x="311"/>
        <item x="68"/>
        <item x="283"/>
        <item x="134"/>
        <item x="435"/>
        <item x="244"/>
        <item x="66"/>
        <item x="101"/>
        <item x="298"/>
        <item x="271"/>
        <item x="472"/>
        <item x="333"/>
        <item x="355"/>
        <item x="258"/>
        <item x="77"/>
        <item x="44"/>
        <item x="140"/>
        <item x="354"/>
        <item x="471"/>
        <item x="275"/>
        <item x="181"/>
        <item x="22"/>
        <item x="34"/>
        <item x="102"/>
        <item x="422"/>
        <item x="99"/>
        <item x="454"/>
        <item x="23"/>
        <item x="204"/>
        <item x="216"/>
        <item x="176"/>
        <item x="371"/>
        <item x="291"/>
        <item x="45"/>
        <item x="308"/>
        <item x="293"/>
        <item x="183"/>
        <item x="450"/>
        <item x="325"/>
        <item x="341"/>
        <item x="367"/>
        <item x="285"/>
        <item x="401"/>
        <item x="19"/>
        <item x="368"/>
        <item x="152"/>
        <item x="436"/>
        <item x="263"/>
        <item x="224"/>
        <item x="5"/>
        <item x="36"/>
        <item x="294"/>
        <item x="397"/>
        <item x="9"/>
        <item x="172"/>
        <item x="416"/>
        <item x="373"/>
        <item x="400"/>
        <item x="186"/>
        <item x="418"/>
        <item x="481"/>
        <item x="359"/>
        <item x="130"/>
        <item x="137"/>
        <item x="2"/>
        <item x="0"/>
        <item x="410"/>
        <item x="268"/>
        <item x="111"/>
        <item x="62"/>
        <item x="430"/>
        <item x="437"/>
        <item x="470"/>
        <item x="388"/>
        <item x="126"/>
        <item x="208"/>
        <item x="159"/>
        <item x="391"/>
        <item x="374"/>
        <item x="363"/>
        <item x="115"/>
        <item x="215"/>
        <item x="117"/>
        <item x="41"/>
        <item x="65"/>
        <item x="265"/>
        <item x="139"/>
        <item x="323"/>
        <item x="473"/>
        <item x="302"/>
        <item x="89"/>
        <item x="91"/>
        <item x="331"/>
        <item x="309"/>
        <item x="406"/>
        <item x="255"/>
        <item x="236"/>
        <item x="317"/>
        <item x="314"/>
        <item x="362"/>
        <item x="411"/>
        <item x="71"/>
        <item x="344"/>
        <item x="408"/>
        <item x="377"/>
        <item x="191"/>
        <item x="173"/>
        <item x="150"/>
        <item x="33"/>
        <item x="128"/>
        <item x="369"/>
        <item x="270"/>
        <item x="287"/>
        <item x="123"/>
        <item x="429"/>
        <item x="364"/>
        <item x="131"/>
        <item x="423"/>
        <item x="276"/>
        <item x="147"/>
        <item x="477"/>
        <item x="304"/>
        <item x="148"/>
        <item x="382"/>
        <item x="25"/>
        <item x="297"/>
        <item x="459"/>
        <item x="197"/>
        <item x="154"/>
        <item x="229"/>
        <item x="395"/>
        <item x="219"/>
        <item x="32"/>
        <item x="420"/>
        <item x="337"/>
        <item x="221"/>
        <item x="434"/>
        <item x="247"/>
        <item x="316"/>
        <item x="463"/>
        <item x="305"/>
        <item x="342"/>
        <item x="381"/>
        <item x="386"/>
        <item x="79"/>
        <item x="114"/>
        <item x="4"/>
        <item x="441"/>
        <item x="40"/>
        <item x="133"/>
        <item x="16"/>
        <item x="169"/>
        <item x="431"/>
        <item x="10"/>
        <item t="default"/>
      </items>
    </pivotField>
    <pivotField dataField="1" compact="0" numFmtId="3" showAll="0">
      <items count="352">
        <item x="48"/>
        <item x="311"/>
        <item x="231"/>
        <item x="134"/>
        <item x="13"/>
        <item x="189"/>
        <item x="138"/>
        <item x="120"/>
        <item x="275"/>
        <item x="254"/>
        <item x="276"/>
        <item x="9"/>
        <item x="14"/>
        <item x="37"/>
        <item x="1"/>
        <item x="24"/>
        <item x="81"/>
        <item x="338"/>
        <item x="88"/>
        <item x="35"/>
        <item x="262"/>
        <item x="285"/>
        <item x="67"/>
        <item x="113"/>
        <item x="333"/>
        <item x="145"/>
        <item x="252"/>
        <item x="147"/>
        <item x="85"/>
        <item x="22"/>
        <item x="122"/>
        <item x="186"/>
        <item x="43"/>
        <item x="330"/>
        <item x="156"/>
        <item x="327"/>
        <item x="219"/>
        <item x="142"/>
        <item x="278"/>
        <item x="305"/>
        <item x="173"/>
        <item x="221"/>
        <item x="248"/>
        <item x="126"/>
        <item x="168"/>
        <item x="232"/>
        <item x="137"/>
        <item x="202"/>
        <item x="118"/>
        <item x="79"/>
        <item x="205"/>
        <item x="199"/>
        <item x="19"/>
        <item x="273"/>
        <item x="132"/>
        <item x="150"/>
        <item x="230"/>
        <item x="12"/>
        <item x="347"/>
        <item x="242"/>
        <item x="52"/>
        <item x="233"/>
        <item x="176"/>
        <item x="78"/>
        <item x="334"/>
        <item x="267"/>
        <item x="42"/>
        <item x="329"/>
        <item x="110"/>
        <item x="15"/>
        <item x="11"/>
        <item x="91"/>
        <item x="310"/>
        <item x="131"/>
        <item x="128"/>
        <item x="127"/>
        <item x="256"/>
        <item x="100"/>
        <item x="72"/>
        <item x="188"/>
        <item x="349"/>
        <item x="161"/>
        <item x="159"/>
        <item x="106"/>
        <item x="160"/>
        <item x="66"/>
        <item x="255"/>
        <item x="178"/>
        <item x="171"/>
        <item x="158"/>
        <item x="59"/>
        <item x="235"/>
        <item x="195"/>
        <item x="213"/>
        <item x="172"/>
        <item x="250"/>
        <item x="83"/>
        <item x="269"/>
        <item x="332"/>
        <item x="146"/>
        <item x="264"/>
        <item x="40"/>
        <item x="182"/>
        <item x="153"/>
        <item x="107"/>
        <item x="209"/>
        <item x="117"/>
        <item x="281"/>
        <item x="229"/>
        <item x="237"/>
        <item x="36"/>
        <item x="51"/>
        <item x="27"/>
        <item x="191"/>
        <item x="325"/>
        <item x="238"/>
        <item x="30"/>
        <item x="206"/>
        <item x="62"/>
        <item x="104"/>
        <item x="157"/>
        <item x="39"/>
        <item x="190"/>
        <item x="6"/>
        <item x="197"/>
        <item x="277"/>
        <item x="125"/>
        <item x="82"/>
        <item x="139"/>
        <item x="187"/>
        <item x="177"/>
        <item x="63"/>
        <item x="115"/>
        <item x="46"/>
        <item x="284"/>
        <item x="50"/>
        <item x="23"/>
        <item x="93"/>
        <item x="164"/>
        <item x="298"/>
        <item x="116"/>
        <item x="184"/>
        <item x="143"/>
        <item x="74"/>
        <item x="111"/>
        <item x="92"/>
        <item x="253"/>
        <item x="20"/>
        <item x="318"/>
        <item x="306"/>
        <item x="295"/>
        <item x="7"/>
        <item x="223"/>
        <item x="179"/>
        <item x="96"/>
        <item x="45"/>
        <item x="239"/>
        <item x="154"/>
        <item x="345"/>
        <item x="224"/>
        <item x="323"/>
        <item x="21"/>
        <item x="350"/>
        <item x="249"/>
        <item x="53"/>
        <item x="192"/>
        <item x="69"/>
        <item x="8"/>
        <item x="57"/>
        <item x="71"/>
        <item x="301"/>
        <item x="49"/>
        <item x="29"/>
        <item x="3"/>
        <item x="226"/>
        <item x="344"/>
        <item x="245"/>
        <item x="101"/>
        <item x="98"/>
        <item x="17"/>
        <item x="194"/>
        <item x="270"/>
        <item x="307"/>
        <item x="263"/>
        <item x="167"/>
        <item x="200"/>
        <item x="251"/>
        <item x="217"/>
        <item x="151"/>
        <item x="165"/>
        <item x="319"/>
        <item x="317"/>
        <item x="212"/>
        <item x="87"/>
        <item x="265"/>
        <item x="240"/>
        <item x="271"/>
        <item x="214"/>
        <item x="119"/>
        <item x="257"/>
        <item x="103"/>
        <item x="56"/>
        <item x="339"/>
        <item x="31"/>
        <item x="216"/>
        <item x="326"/>
        <item x="55"/>
        <item x="102"/>
        <item x="207"/>
        <item x="236"/>
        <item x="175"/>
        <item x="316"/>
        <item x="208"/>
        <item x="54"/>
        <item x="86"/>
        <item x="287"/>
        <item x="259"/>
        <item x="109"/>
        <item x="341"/>
        <item x="80"/>
        <item x="163"/>
        <item x="4"/>
        <item x="90"/>
        <item x="211"/>
        <item x="193"/>
        <item x="346"/>
        <item x="170"/>
        <item x="304"/>
        <item x="288"/>
        <item x="76"/>
        <item x="174"/>
        <item x="32"/>
        <item x="258"/>
        <item x="135"/>
        <item x="312"/>
        <item x="44"/>
        <item x="293"/>
        <item x="290"/>
        <item x="291"/>
        <item x="99"/>
        <item x="246"/>
        <item x="260"/>
        <item x="114"/>
        <item x="70"/>
        <item x="201"/>
        <item x="26"/>
        <item x="234"/>
        <item x="348"/>
        <item x="47"/>
        <item x="343"/>
        <item x="183"/>
        <item x="28"/>
        <item x="112"/>
        <item x="204"/>
        <item x="300"/>
        <item x="272"/>
        <item x="58"/>
        <item x="133"/>
        <item x="121"/>
        <item x="141"/>
        <item x="198"/>
        <item x="321"/>
        <item x="97"/>
        <item x="225"/>
        <item x="335"/>
        <item x="222"/>
        <item x="95"/>
        <item x="299"/>
        <item x="60"/>
        <item x="38"/>
        <item x="296"/>
        <item x="279"/>
        <item x="140"/>
        <item x="289"/>
        <item x="144"/>
        <item x="18"/>
        <item x="340"/>
        <item x="308"/>
        <item x="261"/>
        <item x="149"/>
        <item x="283"/>
        <item x="322"/>
        <item x="162"/>
        <item x="215"/>
        <item x="94"/>
        <item x="68"/>
        <item x="266"/>
        <item x="64"/>
        <item x="247"/>
        <item x="77"/>
        <item x="336"/>
        <item x="210"/>
        <item x="324"/>
        <item x="130"/>
        <item x="342"/>
        <item x="227"/>
        <item x="108"/>
        <item x="89"/>
        <item x="169"/>
        <item x="294"/>
        <item x="309"/>
        <item x="65"/>
        <item x="84"/>
        <item x="274"/>
        <item x="268"/>
        <item x="34"/>
        <item x="73"/>
        <item x="241"/>
        <item x="10"/>
        <item x="218"/>
        <item x="320"/>
        <item x="185"/>
        <item x="155"/>
        <item x="75"/>
        <item x="5"/>
        <item x="181"/>
        <item x="302"/>
        <item x="286"/>
        <item x="152"/>
        <item x="124"/>
        <item x="196"/>
        <item x="203"/>
        <item x="314"/>
        <item x="61"/>
        <item x="297"/>
        <item x="220"/>
        <item x="105"/>
        <item x="180"/>
        <item x="292"/>
        <item x="2"/>
        <item x="244"/>
        <item x="337"/>
        <item x="313"/>
        <item x="0"/>
        <item x="280"/>
        <item x="328"/>
        <item x="123"/>
        <item x="166"/>
        <item x="303"/>
        <item x="129"/>
        <item x="148"/>
        <item x="315"/>
        <item x="243"/>
        <item x="228"/>
        <item x="331"/>
        <item x="282"/>
        <item x="41"/>
        <item x="16"/>
        <item x="25"/>
        <item x="33"/>
        <item x="136"/>
        <item t="default"/>
      </items>
    </pivotField>
    <pivotField dataField="1" compact="0" showAll="0">
      <items count="501">
        <item x="135"/>
        <item x="49"/>
        <item x="9"/>
        <item x="229"/>
        <item x="96"/>
        <item x="125"/>
        <item x="253"/>
        <item x="331"/>
        <item x="1"/>
        <item x="394"/>
        <item x="14"/>
        <item x="190"/>
        <item x="242"/>
        <item x="69"/>
        <item x="13"/>
        <item x="22"/>
        <item x="321"/>
        <item x="360"/>
        <item x="418"/>
        <item x="153"/>
        <item x="430"/>
        <item x="183"/>
        <item x="361"/>
        <item x="366"/>
        <item x="416"/>
        <item x="283"/>
        <item x="272"/>
        <item x="156"/>
        <item x="179"/>
        <item x="93"/>
        <item x="270"/>
        <item x="269"/>
        <item x="144"/>
        <item x="476"/>
        <item x="437"/>
        <item x="312"/>
        <item x="87"/>
        <item x="420"/>
        <item x="188"/>
        <item x="436"/>
        <item x="157"/>
        <item x="291"/>
        <item x="336"/>
        <item x="284"/>
        <item x="318"/>
        <item x="94"/>
        <item x="24"/>
        <item x="42"/>
        <item x="224"/>
        <item x="448"/>
        <item x="37"/>
        <item x="91"/>
        <item x="286"/>
        <item x="303"/>
        <item x="463"/>
        <item x="35"/>
        <item x="376"/>
        <item x="257"/>
        <item x="497"/>
        <item x="110"/>
        <item x="185"/>
        <item x="349"/>
        <item x="396"/>
        <item x="166"/>
        <item x="409"/>
        <item x="450"/>
        <item x="54"/>
        <item x="99"/>
        <item x="220"/>
        <item x="169"/>
        <item x="208"/>
        <item x="84"/>
        <item x="481"/>
        <item x="71"/>
        <item x="466"/>
        <item x="19"/>
        <item x="122"/>
        <item x="139"/>
        <item x="246"/>
        <item x="168"/>
        <item x="460"/>
        <item x="146"/>
        <item x="212"/>
        <item x="458"/>
        <item x="374"/>
        <item x="296"/>
        <item x="68"/>
        <item x="417"/>
        <item x="354"/>
        <item x="180"/>
        <item x="165"/>
        <item x="325"/>
        <item x="452"/>
        <item x="415"/>
        <item x="342"/>
        <item x="478"/>
        <item x="444"/>
        <item x="310"/>
        <item x="351"/>
        <item x="151"/>
        <item x="455"/>
        <item x="287"/>
        <item x="282"/>
        <item x="44"/>
        <item x="206"/>
        <item x="480"/>
        <item x="249"/>
        <item x="27"/>
        <item x="161"/>
        <item x="203"/>
        <item x="147"/>
        <item x="85"/>
        <item x="462"/>
        <item x="494"/>
        <item x="132"/>
        <item x="150"/>
        <item x="273"/>
        <item x="117"/>
        <item x="240"/>
        <item x="260"/>
        <item x="333"/>
        <item x="15"/>
        <item x="53"/>
        <item x="12"/>
        <item x="187"/>
        <item x="189"/>
        <item x="232"/>
        <item x="158"/>
        <item x="400"/>
        <item x="196"/>
        <item x="243"/>
        <item x="123"/>
        <item x="89"/>
        <item x="77"/>
        <item x="43"/>
        <item x="126"/>
        <item x="175"/>
        <item x="492"/>
        <item x="192"/>
        <item x="52"/>
        <item x="289"/>
        <item x="40"/>
        <item x="227"/>
        <item x="314"/>
        <item x="228"/>
        <item x="365"/>
        <item x="344"/>
        <item x="237"/>
        <item x="446"/>
        <item x="370"/>
        <item x="429"/>
        <item x="116"/>
        <item x="36"/>
        <item x="301"/>
        <item x="194"/>
        <item x="216"/>
        <item x="172"/>
        <item x="364"/>
        <item x="128"/>
        <item x="182"/>
        <item x="226"/>
        <item x="353"/>
        <item x="214"/>
        <item x="414"/>
        <item x="207"/>
        <item x="233"/>
        <item x="356"/>
        <item x="322"/>
        <item x="359"/>
        <item x="11"/>
        <item x="261"/>
        <item x="234"/>
        <item x="343"/>
        <item x="426"/>
        <item x="23"/>
        <item x="79"/>
        <item x="281"/>
        <item x="464"/>
        <item x="222"/>
        <item x="64"/>
        <item x="338"/>
        <item x="145"/>
        <item x="181"/>
        <item x="111"/>
        <item x="51"/>
        <item x="346"/>
        <item x="305"/>
        <item x="186"/>
        <item x="469"/>
        <item x="184"/>
        <item x="358"/>
        <item x="114"/>
        <item x="410"/>
        <item x="215"/>
        <item x="316"/>
        <item x="213"/>
        <item x="290"/>
        <item x="61"/>
        <item x="47"/>
        <item x="59"/>
        <item x="459"/>
        <item x="285"/>
        <item x="219"/>
        <item x="323"/>
        <item x="80"/>
        <item x="50"/>
        <item x="439"/>
        <item x="295"/>
        <item x="55"/>
        <item x="371"/>
        <item x="324"/>
        <item x="262"/>
        <item x="427"/>
        <item x="225"/>
        <item x="389"/>
        <item x="276"/>
        <item x="461"/>
        <item x="347"/>
        <item x="393"/>
        <item x="197"/>
        <item x="8"/>
        <item x="428"/>
        <item x="292"/>
        <item x="441"/>
        <item x="254"/>
        <item x="130"/>
        <item x="375"/>
        <item x="201"/>
        <item x="39"/>
        <item x="337"/>
        <item x="320"/>
        <item x="275"/>
        <item x="484"/>
        <item x="293"/>
        <item x="7"/>
        <item x="202"/>
        <item x="200"/>
        <item x="482"/>
        <item x="231"/>
        <item x="385"/>
        <item x="6"/>
        <item x="167"/>
        <item x="369"/>
        <item x="327"/>
        <item x="363"/>
        <item x="348"/>
        <item x="297"/>
        <item x="335"/>
        <item x="496"/>
        <item x="209"/>
        <item x="32"/>
        <item x="308"/>
        <item x="404"/>
        <item x="473"/>
        <item x="30"/>
        <item x="255"/>
        <item x="449"/>
        <item x="133"/>
        <item x="355"/>
        <item x="294"/>
        <item x="100"/>
        <item x="339"/>
        <item x="195"/>
        <item x="251"/>
        <item x="137"/>
        <item x="105"/>
        <item x="131"/>
        <item x="75"/>
        <item x="88"/>
        <item x="143"/>
        <item x="57"/>
        <item x="163"/>
        <item x="453"/>
        <item x="298"/>
        <item x="387"/>
        <item x="411"/>
        <item x="4"/>
        <item x="244"/>
        <item x="107"/>
        <item x="21"/>
        <item x="29"/>
        <item x="315"/>
        <item x="134"/>
        <item x="328"/>
        <item x="173"/>
        <item x="313"/>
        <item x="124"/>
        <item x="129"/>
        <item x="258"/>
        <item x="457"/>
        <item x="73"/>
        <item x="152"/>
        <item x="319"/>
        <item x="493"/>
        <item x="65"/>
        <item x="334"/>
        <item x="422"/>
        <item x="205"/>
        <item x="288"/>
        <item x="488"/>
        <item x="403"/>
        <item x="108"/>
        <item x="495"/>
        <item x="20"/>
        <item x="221"/>
        <item x="399"/>
        <item x="70"/>
        <item x="121"/>
        <item x="104"/>
        <item x="300"/>
        <item x="109"/>
        <item x="103"/>
        <item x="176"/>
        <item x="113"/>
        <item x="171"/>
        <item x="309"/>
        <item x="390"/>
        <item x="101"/>
        <item x="211"/>
        <item x="264"/>
        <item x="95"/>
        <item x="431"/>
        <item x="112"/>
        <item x="499"/>
        <item x="267"/>
        <item x="31"/>
        <item x="398"/>
        <item x="74"/>
        <item x="326"/>
        <item x="142"/>
        <item x="401"/>
        <item x="490"/>
        <item x="440"/>
        <item x="76"/>
        <item x="18"/>
        <item x="277"/>
        <item x="263"/>
        <item x="432"/>
        <item x="230"/>
        <item x="405"/>
        <item x="239"/>
        <item x="46"/>
        <item x="259"/>
        <item x="198"/>
        <item x="395"/>
        <item x="265"/>
        <item x="489"/>
        <item x="118"/>
        <item x="236"/>
        <item x="434"/>
        <item x="479"/>
        <item x="306"/>
        <item x="477"/>
        <item x="149"/>
        <item x="120"/>
        <item x="138"/>
        <item x="278"/>
        <item x="58"/>
        <item x="357"/>
        <item x="256"/>
        <item x="136"/>
        <item x="465"/>
        <item x="472"/>
        <item x="162"/>
        <item x="17"/>
        <item x="210"/>
        <item x="86"/>
        <item x="3"/>
        <item x="178"/>
        <item x="56"/>
        <item x="408"/>
        <item x="447"/>
        <item x="266"/>
        <item x="92"/>
        <item x="304"/>
        <item x="248"/>
        <item x="317"/>
        <item x="332"/>
        <item x="491"/>
        <item x="419"/>
        <item x="10"/>
        <item x="340"/>
        <item x="470"/>
        <item x="330"/>
        <item x="468"/>
        <item x="350"/>
        <item x="299"/>
        <item x="485"/>
        <item x="380"/>
        <item x="98"/>
        <item x="352"/>
        <item x="119"/>
        <item x="252"/>
        <item x="160"/>
        <item x="378"/>
        <item x="311"/>
        <item x="235"/>
        <item x="45"/>
        <item x="48"/>
        <item x="474"/>
        <item x="425"/>
        <item x="362"/>
        <item x="379"/>
        <item x="487"/>
        <item x="106"/>
        <item x="115"/>
        <item x="386"/>
        <item x="164"/>
        <item x="274"/>
        <item x="383"/>
        <item x="83"/>
        <item x="382"/>
        <item x="329"/>
        <item x="28"/>
        <item x="62"/>
        <item x="407"/>
        <item x="159"/>
        <item x="97"/>
        <item x="245"/>
        <item x="391"/>
        <item x="82"/>
        <item x="127"/>
        <item x="486"/>
        <item x="154"/>
        <item x="341"/>
        <item x="78"/>
        <item x="26"/>
        <item x="438"/>
        <item x="397"/>
        <item x="377"/>
        <item x="421"/>
        <item x="199"/>
        <item x="498"/>
        <item x="483"/>
        <item x="402"/>
        <item x="218"/>
        <item x="191"/>
        <item x="435"/>
        <item x="140"/>
        <item x="241"/>
        <item x="60"/>
        <item x="72"/>
        <item x="443"/>
        <item x="66"/>
        <item x="38"/>
        <item x="454"/>
        <item x="279"/>
        <item x="442"/>
        <item x="467"/>
        <item x="102"/>
        <item x="381"/>
        <item x="367"/>
        <item x="471"/>
        <item x="177"/>
        <item x="5"/>
        <item x="412"/>
        <item x="373"/>
        <item x="280"/>
        <item x="247"/>
        <item x="193"/>
        <item x="141"/>
        <item x="413"/>
        <item x="302"/>
        <item x="25"/>
        <item x="388"/>
        <item x="345"/>
        <item x="204"/>
        <item x="368"/>
        <item x="271"/>
        <item x="250"/>
        <item x="90"/>
        <item x="372"/>
        <item x="67"/>
        <item x="34"/>
        <item x="384"/>
        <item x="2"/>
        <item x="223"/>
        <item x="268"/>
        <item x="433"/>
        <item x="424"/>
        <item x="174"/>
        <item x="392"/>
        <item x="238"/>
        <item x="81"/>
        <item x="217"/>
        <item x="423"/>
        <item x="63"/>
        <item x="445"/>
        <item x="0"/>
        <item x="41"/>
        <item x="307"/>
        <item x="451"/>
        <item x="475"/>
        <item x="406"/>
        <item x="170"/>
        <item x="148"/>
        <item x="33"/>
        <item x="456"/>
        <item x="16"/>
        <item x="155"/>
        <item t="default"/>
      </items>
    </pivotField>
    <pivotField compact="0" showAll="0">
      <items count="501">
        <item x="354"/>
        <item x="188"/>
        <item x="398"/>
        <item x="312"/>
        <item x="220"/>
        <item x="343"/>
        <item x="44"/>
        <item x="196"/>
        <item x="310"/>
        <item x="207"/>
        <item x="480"/>
        <item x="305"/>
        <item x="110"/>
        <item x="197"/>
        <item x="229"/>
        <item x="89"/>
        <item x="87"/>
        <item x="246"/>
        <item x="360"/>
        <item x="347"/>
        <item x="439"/>
        <item x="114"/>
        <item x="21"/>
        <item x="219"/>
        <item x="259"/>
        <item x="107"/>
        <item x="334"/>
        <item x="20"/>
        <item x="255"/>
        <item x="105"/>
        <item x="262"/>
        <item x="385"/>
        <item x="85"/>
        <item x="425"/>
        <item x="409"/>
        <item x="50"/>
        <item x="161"/>
        <item x="125"/>
        <item x="461"/>
        <item x="430"/>
        <item x="101"/>
        <item x="137"/>
        <item x="109"/>
        <item x="282"/>
        <item x="414"/>
        <item x="452"/>
        <item x="287"/>
        <item x="225"/>
        <item x="65"/>
        <item x="88"/>
        <item x="420"/>
        <item x="376"/>
        <item x="24"/>
        <item x="157"/>
        <item x="463"/>
        <item x="84"/>
        <item x="477"/>
        <item x="47"/>
        <item x="205"/>
        <item x="201"/>
        <item x="322"/>
        <item x="51"/>
        <item x="200"/>
        <item x="342"/>
        <item x="17"/>
        <item x="158"/>
        <item x="169"/>
        <item x="91"/>
        <item x="240"/>
        <item x="31"/>
        <item x="285"/>
        <item x="40"/>
        <item x="185"/>
        <item x="227"/>
        <item x="289"/>
        <item x="286"/>
        <item x="331"/>
        <item x="203"/>
        <item x="56"/>
        <item x="146"/>
        <item x="297"/>
        <item x="94"/>
        <item x="12"/>
        <item x="39"/>
        <item x="441"/>
        <item x="230"/>
        <item x="120"/>
        <item x="142"/>
        <item x="224"/>
        <item x="175"/>
        <item x="145"/>
        <item x="416"/>
        <item x="370"/>
        <item x="228"/>
        <item x="1"/>
        <item x="136"/>
        <item x="353"/>
        <item x="300"/>
        <item x="108"/>
        <item x="476"/>
        <item x="400"/>
        <item x="321"/>
        <item x="183"/>
        <item x="496"/>
        <item x="71"/>
        <item x="358"/>
        <item x="117"/>
        <item x="365"/>
        <item x="291"/>
        <item x="417"/>
        <item x="6"/>
        <item x="295"/>
        <item x="245"/>
        <item x="336"/>
        <item x="130"/>
        <item x="355"/>
        <item x="284"/>
        <item x="428"/>
        <item x="459"/>
        <item x="346"/>
        <item x="394"/>
        <item x="293"/>
        <item x="393"/>
        <item x="93"/>
        <item x="59"/>
        <item x="162"/>
        <item x="209"/>
        <item x="164"/>
        <item x="281"/>
        <item x="180"/>
        <item x="126"/>
        <item x="251"/>
        <item x="143"/>
        <item x="434"/>
        <item x="325"/>
        <item x="380"/>
        <item x="478"/>
        <item x="396"/>
        <item x="318"/>
        <item x="26"/>
        <item x="104"/>
        <item x="113"/>
        <item x="446"/>
        <item x="390"/>
        <item x="189"/>
        <item x="198"/>
        <item x="366"/>
        <item x="211"/>
        <item x="395"/>
        <item x="75"/>
        <item x="77"/>
        <item x="60"/>
        <item x="333"/>
        <item x="54"/>
        <item x="344"/>
        <item x="257"/>
        <item x="181"/>
        <item x="491"/>
        <item x="58"/>
        <item x="214"/>
        <item x="70"/>
        <item x="269"/>
        <item x="192"/>
        <item x="53"/>
        <item x="270"/>
        <item x="481"/>
        <item x="241"/>
        <item x="440"/>
        <item x="272"/>
        <item x="455"/>
        <item x="15"/>
        <item x="256"/>
        <item x="36"/>
        <item x="327"/>
        <item x="69"/>
        <item x="467"/>
        <item x="98"/>
        <item x="341"/>
        <item x="147"/>
        <item x="447"/>
        <item x="495"/>
        <item x="61"/>
        <item x="237"/>
        <item x="484"/>
        <item x="111"/>
        <item x="483"/>
        <item x="361"/>
        <item x="79"/>
        <item x="73"/>
        <item x="273"/>
        <item x="304"/>
        <item x="261"/>
        <item x="369"/>
        <item x="13"/>
        <item x="159"/>
        <item x="222"/>
        <item x="122"/>
        <item x="247"/>
        <item x="165"/>
        <item x="438"/>
        <item x="359"/>
        <item x="172"/>
        <item x="275"/>
        <item x="64"/>
        <item x="102"/>
        <item x="466"/>
        <item x="202"/>
        <item x="299"/>
        <item x="381"/>
        <item x="216"/>
        <item x="135"/>
        <item x="301"/>
        <item x="153"/>
        <item x="62"/>
        <item x="497"/>
        <item x="173"/>
        <item x="462"/>
        <item x="156"/>
        <item x="413"/>
        <item x="14"/>
        <item x="46"/>
        <item x="306"/>
        <item x="67"/>
        <item x="123"/>
        <item x="9"/>
        <item x="99"/>
        <item x="427"/>
        <item x="432"/>
        <item x="119"/>
        <item x="335"/>
        <item x="263"/>
        <item x="363"/>
        <item x="410"/>
        <item x="265"/>
        <item x="168"/>
        <item x="254"/>
        <item x="55"/>
        <item x="249"/>
        <item x="464"/>
        <item x="194"/>
        <item x="242"/>
        <item x="492"/>
        <item x="82"/>
        <item x="139"/>
        <item x="431"/>
        <item x="328"/>
        <item x="422"/>
        <item x="326"/>
        <item x="437"/>
        <item x="453"/>
        <item x="190"/>
        <item x="404"/>
        <item x="176"/>
        <item x="383"/>
        <item x="364"/>
        <item x="106"/>
        <item x="81"/>
        <item x="140"/>
        <item x="195"/>
        <item x="239"/>
        <item x="210"/>
        <item x="268"/>
        <item x="138"/>
        <item x="29"/>
        <item x="423"/>
        <item x="166"/>
        <item x="367"/>
        <item x="208"/>
        <item x="319"/>
        <item x="103"/>
        <item x="485"/>
        <item x="373"/>
        <item x="116"/>
        <item x="401"/>
        <item x="186"/>
        <item x="74"/>
        <item x="494"/>
        <item x="375"/>
        <item x="252"/>
        <item x="100"/>
        <item x="403"/>
        <item x="444"/>
        <item x="267"/>
        <item x="387"/>
        <item x="469"/>
        <item x="418"/>
        <item x="178"/>
        <item x="348"/>
        <item x="337"/>
        <item x="382"/>
        <item x="43"/>
        <item x="405"/>
        <item x="388"/>
        <item x="187"/>
        <item x="243"/>
        <item x="435"/>
        <item x="415"/>
        <item x="215"/>
        <item x="307"/>
        <item x="313"/>
        <item x="154"/>
        <item x="450"/>
        <item x="22"/>
        <item x="129"/>
        <item x="474"/>
        <item x="266"/>
        <item x="244"/>
        <item x="264"/>
        <item x="97"/>
        <item x="470"/>
        <item x="384"/>
        <item x="408"/>
        <item x="163"/>
        <item x="204"/>
        <item x="303"/>
        <item x="42"/>
        <item x="217"/>
        <item x="23"/>
        <item x="18"/>
        <item x="218"/>
        <item x="274"/>
        <item x="442"/>
        <item x="489"/>
        <item x="308"/>
        <item x="95"/>
        <item x="171"/>
        <item x="426"/>
        <item x="457"/>
        <item x="19"/>
        <item x="402"/>
        <item x="379"/>
        <item x="150"/>
        <item x="76"/>
        <item x="72"/>
        <item x="349"/>
        <item x="184"/>
        <item x="356"/>
        <item x="253"/>
        <item x="458"/>
        <item x="177"/>
        <item x="144"/>
        <item x="352"/>
        <item x="377"/>
        <item x="179"/>
        <item x="371"/>
        <item x="167"/>
        <item x="499"/>
        <item x="27"/>
        <item x="182"/>
        <item x="399"/>
        <item x="449"/>
        <item x="451"/>
        <item x="131"/>
        <item x="339"/>
        <item x="278"/>
        <item x="486"/>
        <item x="374"/>
        <item x="57"/>
        <item x="460"/>
        <item x="294"/>
        <item x="260"/>
        <item x="473"/>
        <item x="258"/>
        <item x="221"/>
        <item x="324"/>
        <item x="392"/>
        <item x="315"/>
        <item x="8"/>
        <item x="52"/>
        <item x="118"/>
        <item x="238"/>
        <item x="11"/>
        <item x="362"/>
        <item x="5"/>
        <item x="151"/>
        <item x="223"/>
        <item x="406"/>
        <item x="330"/>
        <item x="351"/>
        <item x="121"/>
        <item x="25"/>
        <item x="191"/>
        <item x="45"/>
        <item x="482"/>
        <item x="345"/>
        <item x="411"/>
        <item x="277"/>
        <item x="309"/>
        <item x="63"/>
        <item x="250"/>
        <item x="32"/>
        <item x="3"/>
        <item x="35"/>
        <item x="30"/>
        <item x="487"/>
        <item x="33"/>
        <item x="424"/>
        <item x="68"/>
        <item x="193"/>
        <item x="78"/>
        <item x="280"/>
        <item x="206"/>
        <item x="407"/>
        <item x="213"/>
        <item x="155"/>
        <item x="468"/>
        <item x="471"/>
        <item x="276"/>
        <item x="368"/>
        <item x="38"/>
        <item x="419"/>
        <item x="311"/>
        <item x="231"/>
        <item x="124"/>
        <item x="329"/>
        <item x="292"/>
        <item x="475"/>
        <item x="83"/>
        <item x="248"/>
        <item x="133"/>
        <item x="412"/>
        <item x="271"/>
        <item x="350"/>
        <item x="298"/>
        <item x="112"/>
        <item x="378"/>
        <item x="288"/>
        <item x="332"/>
        <item x="302"/>
        <item x="86"/>
        <item x="290"/>
        <item x="212"/>
        <item x="7"/>
        <item x="92"/>
        <item x="323"/>
        <item x="465"/>
        <item x="148"/>
        <item x="436"/>
        <item x="316"/>
        <item x="199"/>
        <item x="320"/>
        <item x="115"/>
        <item x="397"/>
        <item x="37"/>
        <item x="28"/>
        <item x="127"/>
        <item x="141"/>
        <item x="433"/>
        <item x="152"/>
        <item x="456"/>
        <item x="493"/>
        <item x="66"/>
        <item x="226"/>
        <item x="490"/>
        <item x="0"/>
        <item x="80"/>
        <item x="472"/>
        <item x="283"/>
        <item x="174"/>
        <item x="49"/>
        <item x="4"/>
        <item x="498"/>
        <item x="448"/>
        <item x="488"/>
        <item x="34"/>
        <item x="134"/>
        <item x="429"/>
        <item x="389"/>
        <item x="317"/>
        <item x="96"/>
        <item x="232"/>
        <item x="279"/>
        <item x="2"/>
        <item x="170"/>
        <item x="235"/>
        <item x="372"/>
        <item x="233"/>
        <item x="149"/>
        <item x="236"/>
        <item x="90"/>
        <item x="357"/>
        <item x="340"/>
        <item x="128"/>
        <item x="296"/>
        <item x="234"/>
        <item x="443"/>
        <item x="454"/>
        <item x="479"/>
        <item x="16"/>
        <item x="391"/>
        <item x="314"/>
        <item x="338"/>
        <item x="421"/>
        <item x="160"/>
        <item x="41"/>
        <item x="132"/>
        <item x="445"/>
        <item x="48"/>
        <item x="386"/>
        <item x="10"/>
        <item t="default"/>
      </items>
    </pivotField>
    <pivotField compact="0" showAll="0">
      <items count="501">
        <item x="41"/>
        <item x="33"/>
        <item x="456"/>
        <item x="315"/>
        <item x="280"/>
        <item x="199"/>
        <item x="221"/>
        <item x="250"/>
        <item x="231"/>
        <item x="124"/>
        <item x="223"/>
        <item x="387"/>
        <item x="391"/>
        <item x="320"/>
        <item x="118"/>
        <item x="411"/>
        <item x="372"/>
        <item x="153"/>
        <item x="10"/>
        <item x="129"/>
        <item x="16"/>
        <item x="155"/>
        <item x="296"/>
        <item x="311"/>
        <item x="2"/>
        <item x="67"/>
        <item x="100"/>
        <item x="193"/>
        <item x="349"/>
        <item x="63"/>
        <item x="445"/>
        <item x="373"/>
        <item x="274"/>
        <item x="187"/>
        <item x="19"/>
        <item x="95"/>
        <item x="34"/>
        <item x="467"/>
        <item x="170"/>
        <item x="397"/>
        <item x="5"/>
        <item x="134"/>
        <item x="173"/>
        <item x="323"/>
        <item x="421"/>
        <item x="470"/>
        <item x="436"/>
        <item x="486"/>
        <item x="182"/>
        <item x="433"/>
        <item x="97"/>
        <item x="479"/>
        <item x="115"/>
        <item x="72"/>
        <item x="429"/>
        <item x="419"/>
        <item x="162"/>
        <item x="478"/>
        <item x="432"/>
        <item x="4"/>
        <item x="406"/>
        <item x="37"/>
        <item x="493"/>
        <item x="106"/>
        <item x="460"/>
        <item x="22"/>
        <item x="434"/>
        <item x="444"/>
        <item x="443"/>
        <item x="379"/>
        <item x="345"/>
        <item x="152"/>
        <item x="472"/>
        <item x="455"/>
        <item x="423"/>
        <item x="35"/>
        <item x="309"/>
        <item x="357"/>
        <item x="57"/>
        <item x="116"/>
        <item x="392"/>
        <item x="238"/>
        <item x="448"/>
        <item x="78"/>
        <item x="103"/>
        <item x="111"/>
        <item x="261"/>
        <item x="202"/>
        <item x="290"/>
        <item x="268"/>
        <item x="149"/>
        <item x="214"/>
        <item x="471"/>
        <item x="489"/>
        <item x="350"/>
        <item x="475"/>
        <item x="404"/>
        <item x="179"/>
        <item x="176"/>
        <item x="195"/>
        <item x="302"/>
        <item x="413"/>
        <item x="218"/>
        <item x="81"/>
        <item x="300"/>
        <item x="79"/>
        <item x="293"/>
        <item x="363"/>
        <item x="499"/>
        <item x="45"/>
        <item x="424"/>
        <item x="164"/>
        <item x="377"/>
        <item x="388"/>
        <item x="474"/>
        <item x="0"/>
        <item x="25"/>
        <item x="217"/>
        <item x="442"/>
        <item x="307"/>
        <item x="156"/>
        <item x="141"/>
        <item x="324"/>
        <item x="408"/>
        <item x="292"/>
        <item x="279"/>
        <item x="458"/>
        <item x="151"/>
        <item x="344"/>
        <item x="247"/>
        <item x="222"/>
        <item x="132"/>
        <item x="258"/>
        <item x="277"/>
        <item x="27"/>
        <item x="352"/>
        <item x="446"/>
        <item x="74"/>
        <item x="80"/>
        <item x="303"/>
        <item x="98"/>
        <item x="339"/>
        <item x="294"/>
        <item x="402"/>
        <item x="9"/>
        <item x="7"/>
        <item x="288"/>
        <item x="46"/>
        <item x="378"/>
        <item x="381"/>
        <item x="28"/>
        <item x="160"/>
        <item x="56"/>
        <item x="256"/>
        <item x="138"/>
        <item x="102"/>
        <item x="148"/>
        <item x="248"/>
        <item x="374"/>
        <item x="356"/>
        <item x="291"/>
        <item x="48"/>
        <item x="127"/>
        <item x="451"/>
        <item x="487"/>
        <item x="30"/>
        <item x="384"/>
        <item x="457"/>
        <item x="86"/>
        <item x="449"/>
        <item x="407"/>
        <item x="298"/>
        <item x="69"/>
        <item x="184"/>
        <item x="104"/>
        <item x="92"/>
        <item x="234"/>
        <item x="232"/>
        <item x="131"/>
        <item x="425"/>
        <item x="330"/>
        <item x="299"/>
        <item x="491"/>
        <item x="60"/>
        <item x="317"/>
        <item x="68"/>
        <item x="210"/>
        <item x="329"/>
        <item x="264"/>
        <item x="140"/>
        <item x="90"/>
        <item x="364"/>
        <item x="301"/>
        <item x="236"/>
        <item x="431"/>
        <item x="26"/>
        <item x="254"/>
        <item x="42"/>
        <item x="174"/>
        <item x="208"/>
        <item x="123"/>
        <item x="251"/>
        <item x="368"/>
        <item x="204"/>
        <item x="66"/>
        <item x="82"/>
        <item x="332"/>
        <item x="267"/>
        <item x="112"/>
        <item x="304"/>
        <item x="389"/>
        <item x="314"/>
        <item x="308"/>
        <item x="13"/>
        <item x="14"/>
        <item x="319"/>
        <item x="497"/>
        <item x="266"/>
        <item x="468"/>
        <item x="172"/>
        <item x="465"/>
        <item x="295"/>
        <item x="3"/>
        <item x="113"/>
        <item x="412"/>
        <item x="209"/>
        <item x="94"/>
        <item x="450"/>
        <item x="399"/>
        <item x="383"/>
        <item x="488"/>
        <item x="249"/>
        <item x="405"/>
        <item x="438"/>
        <item x="43"/>
        <item x="283"/>
        <item x="49"/>
        <item x="96"/>
        <item x="271"/>
        <item x="206"/>
        <item x="185"/>
        <item x="275"/>
        <item x="426"/>
        <item x="135"/>
        <item x="18"/>
        <item x="171"/>
        <item x="435"/>
        <item x="340"/>
        <item x="496"/>
        <item x="24"/>
        <item x="463"/>
        <item x="415"/>
        <item x="359"/>
        <item x="200"/>
        <item x="243"/>
        <item x="375"/>
        <item x="428"/>
        <item x="466"/>
        <item x="58"/>
        <item x="326"/>
        <item x="355"/>
        <item x="213"/>
        <item x="242"/>
        <item x="325"/>
        <item x="190"/>
        <item x="226"/>
        <item x="418"/>
        <item x="483"/>
        <item x="133"/>
        <item x="114"/>
        <item x="382"/>
        <item x="36"/>
        <item x="143"/>
        <item x="440"/>
        <item x="233"/>
        <item x="168"/>
        <item x="252"/>
        <item x="333"/>
        <item x="23"/>
        <item x="38"/>
        <item x="32"/>
        <item x="128"/>
        <item x="230"/>
        <item x="464"/>
        <item x="477"/>
        <item x="351"/>
        <item x="201"/>
        <item x="119"/>
        <item x="278"/>
        <item x="165"/>
        <item x="265"/>
        <item x="241"/>
        <item x="454"/>
        <item x="83"/>
        <item x="211"/>
        <item x="70"/>
        <item x="224"/>
        <item x="65"/>
        <item x="62"/>
        <item x="498"/>
        <item x="120"/>
        <item x="177"/>
        <item x="192"/>
        <item x="144"/>
        <item x="341"/>
        <item x="494"/>
        <item x="235"/>
        <item x="331"/>
        <item x="335"/>
        <item x="380"/>
        <item x="207"/>
        <item x="212"/>
        <item x="194"/>
        <item x="490"/>
        <item x="159"/>
        <item x="196"/>
        <item x="44"/>
        <item x="376"/>
        <item x="410"/>
        <item x="130"/>
        <item x="441"/>
        <item x="481"/>
        <item x="398"/>
        <item x="122"/>
        <item x="191"/>
        <item x="338"/>
        <item x="75"/>
        <item x="276"/>
        <item x="52"/>
        <item x="59"/>
        <item x="142"/>
        <item x="260"/>
        <item x="237"/>
        <item x="365"/>
        <item x="367"/>
        <item x="337"/>
        <item x="453"/>
        <item x="422"/>
        <item x="312"/>
        <item x="166"/>
        <item x="306"/>
        <item x="386"/>
        <item x="136"/>
        <item x="327"/>
        <item x="253"/>
        <item x="390"/>
        <item x="21"/>
        <item x="395"/>
        <item x="109"/>
        <item x="346"/>
        <item x="51"/>
        <item x="257"/>
        <item x="394"/>
        <item x="77"/>
        <item x="447"/>
        <item x="427"/>
        <item x="362"/>
        <item x="400"/>
        <item x="285"/>
        <item x="316"/>
        <item x="476"/>
        <item x="147"/>
        <item x="198"/>
        <item x="53"/>
        <item x="270"/>
        <item x="178"/>
        <item x="461"/>
        <item x="8"/>
        <item x="167"/>
        <item x="287"/>
        <item x="31"/>
        <item x="318"/>
        <item x="227"/>
        <item x="154"/>
        <item x="401"/>
        <item x="139"/>
        <item x="403"/>
        <item x="99"/>
        <item x="371"/>
        <item x="146"/>
        <item x="125"/>
        <item x="47"/>
        <item x="101"/>
        <item x="439"/>
        <item x="369"/>
        <item x="54"/>
        <item x="495"/>
        <item x="282"/>
        <item x="244"/>
        <item x="245"/>
        <item x="321"/>
        <item x="262"/>
        <item x="183"/>
        <item x="229"/>
        <item x="281"/>
        <item x="40"/>
        <item x="20"/>
        <item x="205"/>
        <item x="240"/>
        <item x="328"/>
        <item x="239"/>
        <item x="73"/>
        <item x="273"/>
        <item x="121"/>
        <item x="417"/>
        <item x="55"/>
        <item x="17"/>
        <item x="29"/>
        <item x="105"/>
        <item x="336"/>
        <item x="71"/>
        <item x="485"/>
        <item x="469"/>
        <item x="484"/>
        <item x="462"/>
        <item x="347"/>
        <item x="396"/>
        <item x="360"/>
        <item x="473"/>
        <item x="313"/>
        <item x="482"/>
        <item x="310"/>
        <item x="409"/>
        <item x="259"/>
        <item x="263"/>
        <item x="12"/>
        <item x="39"/>
        <item x="370"/>
        <item x="430"/>
        <item x="297"/>
        <item x="414"/>
        <item x="108"/>
        <item x="110"/>
        <item x="203"/>
        <item x="150"/>
        <item x="107"/>
        <item x="6"/>
        <item x="220"/>
        <item x="284"/>
        <item x="437"/>
        <item x="289"/>
        <item x="50"/>
        <item x="348"/>
        <item x="393"/>
        <item x="197"/>
        <item x="61"/>
        <item x="219"/>
        <item x="85"/>
        <item x="88"/>
        <item x="76"/>
        <item x="93"/>
        <item x="358"/>
        <item x="186"/>
        <item x="188"/>
        <item x="145"/>
        <item x="163"/>
        <item x="305"/>
        <item x="64"/>
        <item x="11"/>
        <item x="334"/>
        <item x="361"/>
        <item x="246"/>
        <item x="161"/>
        <item x="420"/>
        <item x="157"/>
        <item x="175"/>
        <item x="87"/>
        <item x="15"/>
        <item x="215"/>
        <item x="385"/>
        <item x="89"/>
        <item x="255"/>
        <item x="216"/>
        <item x="366"/>
        <item x="286"/>
        <item x="1"/>
        <item x="272"/>
        <item x="459"/>
        <item x="158"/>
        <item x="228"/>
        <item x="189"/>
        <item x="492"/>
        <item x="181"/>
        <item x="137"/>
        <item x="126"/>
        <item x="225"/>
        <item x="342"/>
        <item x="84"/>
        <item x="343"/>
        <item x="322"/>
        <item x="180"/>
        <item x="452"/>
        <item x="91"/>
        <item x="480"/>
        <item x="353"/>
        <item x="117"/>
        <item x="354"/>
        <item x="416"/>
        <item x="269"/>
        <item x="169"/>
        <item t="default"/>
      </items>
    </pivotField>
    <pivotField compact="0" showAll="0">
      <items count="501">
        <item x="33"/>
        <item x="41"/>
        <item x="280"/>
        <item x="456"/>
        <item x="372"/>
        <item x="199"/>
        <item x="155"/>
        <item x="2"/>
        <item x="67"/>
        <item x="63"/>
        <item x="16"/>
        <item x="5"/>
        <item x="421"/>
        <item x="250"/>
        <item x="97"/>
        <item x="118"/>
        <item x="357"/>
        <item x="467"/>
        <item x="223"/>
        <item x="471"/>
        <item x="152"/>
        <item x="81"/>
        <item x="78"/>
        <item x="423"/>
        <item x="25"/>
        <item x="472"/>
        <item x="0"/>
        <item x="470"/>
        <item x="218"/>
        <item x="247"/>
        <item x="170"/>
        <item x="388"/>
        <item x="445"/>
        <item x="406"/>
        <item x="424"/>
        <item x="141"/>
        <item x="377"/>
        <item x="413"/>
        <item x="34"/>
        <item x="486"/>
        <item x="106"/>
        <item x="442"/>
        <item x="373"/>
        <item x="238"/>
        <item x="307"/>
        <item x="74"/>
        <item x="302"/>
        <item x="217"/>
        <item x="164"/>
        <item x="300"/>
        <item x="193"/>
        <item x="474"/>
        <item x="124"/>
        <item x="451"/>
        <item x="115"/>
        <item x="221"/>
        <item x="268"/>
        <item x="57"/>
        <item x="392"/>
        <item x="475"/>
        <item x="279"/>
        <item x="10"/>
        <item x="391"/>
        <item x="103"/>
        <item x="433"/>
        <item x="56"/>
        <item x="384"/>
        <item x="48"/>
        <item x="368"/>
        <item x="140"/>
        <item x="425"/>
        <item x="72"/>
        <item x="256"/>
        <item x="95"/>
        <item x="148"/>
        <item x="60"/>
        <item x="274"/>
        <item x="407"/>
        <item x="402"/>
        <item x="311"/>
        <item x="204"/>
        <item x="98"/>
        <item x="162"/>
        <item x="28"/>
        <item x="345"/>
        <item x="434"/>
        <item x="113"/>
        <item x="102"/>
        <item x="195"/>
        <item x="111"/>
        <item x="411"/>
        <item x="26"/>
        <item x="277"/>
        <item x="299"/>
        <item x="248"/>
        <item x="432"/>
        <item x="438"/>
        <item x="264"/>
        <item x="381"/>
        <item x="443"/>
        <item x="319"/>
        <item x="123"/>
        <item x="271"/>
        <item x="200"/>
        <item x="405"/>
        <item x="397"/>
        <item x="45"/>
        <item x="149"/>
        <item x="315"/>
        <item x="329"/>
        <item x="173"/>
        <item x="267"/>
        <item x="288"/>
        <item x="320"/>
        <item x="454"/>
        <item x="419"/>
        <item x="79"/>
        <item x="408"/>
        <item x="294"/>
        <item x="379"/>
        <item x="100"/>
        <item x="498"/>
        <item x="171"/>
        <item x="83"/>
        <item x="174"/>
        <item x="483"/>
        <item x="104"/>
        <item x="90"/>
        <item x="201"/>
        <item x="230"/>
        <item x="254"/>
        <item x="491"/>
        <item x="159"/>
        <item x="176"/>
        <item x="120"/>
        <item x="487"/>
        <item x="7"/>
        <item x="18"/>
        <item x="493"/>
        <item x="446"/>
        <item x="398"/>
        <item x="138"/>
        <item x="38"/>
        <item x="143"/>
        <item x="440"/>
        <item x="449"/>
        <item x="177"/>
        <item x="160"/>
        <item x="32"/>
        <item x="457"/>
        <item x="412"/>
        <item x="330"/>
        <item x="86"/>
        <item x="326"/>
        <item x="344"/>
        <item x="387"/>
        <item x="428"/>
        <item x="236"/>
        <item x="62"/>
        <item x="187"/>
        <item x="211"/>
        <item x="309"/>
        <item x="465"/>
        <item x="196"/>
        <item x="109"/>
        <item x="214"/>
        <item x="66"/>
        <item x="308"/>
        <item x="142"/>
        <item x="241"/>
        <item x="136"/>
        <item x="82"/>
        <item x="295"/>
        <item x="352"/>
        <item x="234"/>
        <item x="222"/>
        <item x="395"/>
        <item x="304"/>
        <item x="365"/>
        <item x="191"/>
        <item x="496"/>
        <item x="119"/>
        <item x="401"/>
        <item x="346"/>
        <item x="362"/>
        <item x="339"/>
        <item x="285"/>
        <item x="378"/>
        <item x="429"/>
        <item x="386"/>
        <item x="431"/>
        <item x="21"/>
        <item x="75"/>
        <item x="341"/>
        <item x="202"/>
        <item x="477"/>
        <item x="127"/>
        <item x="435"/>
        <item x="58"/>
        <item x="231"/>
        <item x="355"/>
        <item x="495"/>
        <item x="129"/>
        <item x="114"/>
        <item x="447"/>
        <item x="422"/>
        <item x="245"/>
        <item x="258"/>
        <item x="367"/>
        <item x="327"/>
        <item x="30"/>
        <item x="36"/>
        <item x="47"/>
        <item x="464"/>
        <item x="154"/>
        <item x="461"/>
        <item x="380"/>
        <item x="205"/>
        <item x="298"/>
        <item x="252"/>
        <item x="441"/>
        <item x="213"/>
        <item x="121"/>
        <item x="4"/>
        <item x="105"/>
        <item x="20"/>
        <item x="134"/>
        <item x="278"/>
        <item x="293"/>
        <item x="382"/>
        <item x="31"/>
        <item x="468"/>
        <item x="324"/>
        <item x="479"/>
        <item x="317"/>
        <item x="439"/>
        <item x="404"/>
        <item x="389"/>
        <item x="489"/>
        <item x="210"/>
        <item x="399"/>
        <item x="340"/>
        <item x="453"/>
        <item x="427"/>
        <item x="499"/>
        <item x="3"/>
        <item x="59"/>
        <item x="383"/>
        <item x="251"/>
        <item x="233"/>
        <item x="209"/>
        <item x="39"/>
        <item x="313"/>
        <item x="292"/>
        <item x="8"/>
        <item x="182"/>
        <item x="46"/>
        <item x="107"/>
        <item x="349"/>
        <item x="244"/>
        <item x="356"/>
        <item x="235"/>
        <item x="207"/>
        <item x="478"/>
        <item x="484"/>
        <item x="92"/>
        <item x="426"/>
        <item x="70"/>
        <item x="266"/>
        <item x="485"/>
        <item x="273"/>
        <item x="375"/>
        <item x="65"/>
        <item x="363"/>
        <item x="263"/>
        <item x="306"/>
        <item x="232"/>
        <item x="259"/>
        <item x="6"/>
        <item x="369"/>
        <item x="332"/>
        <item x="112"/>
        <item x="350"/>
        <item x="390"/>
        <item x="490"/>
        <item x="197"/>
        <item x="239"/>
        <item x="325"/>
        <item x="198"/>
        <item x="29"/>
        <item x="400"/>
        <item x="403"/>
        <item x="265"/>
        <item x="50"/>
        <item x="276"/>
        <item x="192"/>
        <item x="55"/>
        <item x="178"/>
        <item x="290"/>
        <item x="348"/>
        <item x="219"/>
        <item x="17"/>
        <item x="51"/>
        <item x="227"/>
        <item x="337"/>
        <item x="393"/>
        <item x="262"/>
        <item x="243"/>
        <item x="43"/>
        <item x="175"/>
        <item x="19"/>
        <item x="328"/>
        <item x="165"/>
        <item x="216"/>
        <item x="101"/>
        <item x="364"/>
        <item x="73"/>
        <item x="76"/>
        <item x="410"/>
        <item x="99"/>
        <item x="108"/>
        <item x="158"/>
        <item x="167"/>
        <item x="459"/>
        <item x="282"/>
        <item x="415"/>
        <item x="27"/>
        <item x="275"/>
        <item x="417"/>
        <item x="312"/>
        <item x="185"/>
        <item x="126"/>
        <item x="116"/>
        <item x="371"/>
        <item x="338"/>
        <item x="473"/>
        <item x="163"/>
        <item x="12"/>
        <item x="494"/>
        <item x="68"/>
        <item x="261"/>
        <item x="296"/>
        <item x="370"/>
        <item x="297"/>
        <item x="497"/>
        <item x="488"/>
        <item x="181"/>
        <item x="225"/>
        <item x="133"/>
        <item x="71"/>
        <item x="314"/>
        <item x="334"/>
        <item x="396"/>
        <item x="130"/>
        <item x="240"/>
        <item x="255"/>
        <item x="110"/>
        <item x="194"/>
        <item x="333"/>
        <item x="237"/>
        <item x="44"/>
        <item x="52"/>
        <item x="131"/>
        <item x="189"/>
        <item x="305"/>
        <item x="385"/>
        <item x="224"/>
        <item x="347"/>
        <item x="289"/>
        <item x="89"/>
        <item x="146"/>
        <item x="463"/>
        <item x="128"/>
        <item x="335"/>
        <item x="88"/>
        <item x="281"/>
        <item x="23"/>
        <item x="77"/>
        <item x="137"/>
        <item x="323"/>
        <item x="260"/>
        <item x="343"/>
        <item x="322"/>
        <item x="358"/>
        <item x="64"/>
        <item x="291"/>
        <item x="455"/>
        <item x="145"/>
        <item x="212"/>
        <item x="336"/>
        <item x="458"/>
        <item x="184"/>
        <item x="284"/>
        <item x="287"/>
        <item x="61"/>
        <item x="156"/>
        <item x="117"/>
        <item x="24"/>
        <item x="481"/>
        <item x="179"/>
        <item x="172"/>
        <item x="482"/>
        <item x="40"/>
        <item x="15"/>
        <item x="436"/>
        <item x="316"/>
        <item x="22"/>
        <item x="310"/>
        <item x="186"/>
        <item x="460"/>
        <item x="54"/>
        <item x="246"/>
        <item x="206"/>
        <item x="301"/>
        <item x="359"/>
        <item x="303"/>
        <item x="466"/>
        <item x="215"/>
        <item x="14"/>
        <item x="409"/>
        <item x="150"/>
        <item x="469"/>
        <item x="53"/>
        <item x="242"/>
        <item x="144"/>
        <item x="84"/>
        <item x="228"/>
        <item x="444"/>
        <item x="420"/>
        <item x="414"/>
        <item x="203"/>
        <item x="147"/>
        <item x="35"/>
        <item x="153"/>
        <item x="452"/>
        <item x="139"/>
        <item x="94"/>
        <item x="353"/>
        <item x="249"/>
        <item x="151"/>
        <item x="354"/>
        <item x="180"/>
        <item x="272"/>
        <item x="85"/>
        <item x="42"/>
        <item x="376"/>
        <item x="208"/>
        <item x="188"/>
        <item x="80"/>
        <item x="351"/>
        <item x="37"/>
        <item x="342"/>
        <item x="96"/>
        <item x="318"/>
        <item x="220"/>
        <item x="492"/>
        <item x="125"/>
        <item x="11"/>
        <item x="480"/>
        <item x="122"/>
        <item x="462"/>
        <item x="161"/>
        <item x="226"/>
        <item x="132"/>
        <item x="257"/>
        <item x="366"/>
        <item x="448"/>
        <item x="69"/>
        <item x="321"/>
        <item x="168"/>
        <item x="286"/>
        <item x="430"/>
        <item x="331"/>
        <item x="1"/>
        <item x="450"/>
        <item x="229"/>
        <item x="269"/>
        <item x="13"/>
        <item x="418"/>
        <item x="374"/>
        <item x="9"/>
        <item x="394"/>
        <item x="91"/>
        <item x="270"/>
        <item x="476"/>
        <item x="49"/>
        <item x="283"/>
        <item x="360"/>
        <item x="190"/>
        <item x="169"/>
        <item x="87"/>
        <item x="93"/>
        <item x="253"/>
        <item x="157"/>
        <item x="166"/>
        <item x="135"/>
        <item x="361"/>
        <item x="437"/>
        <item x="183"/>
        <item x="416"/>
        <item t="default"/>
      </items>
    </pivotField>
    <pivotField dataField="1"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dataField="1" compact="0" showAll="0">
      <items count="501">
        <item x="270"/>
        <item x="361"/>
        <item x="166"/>
        <item x="135"/>
        <item x="416"/>
        <item x="93"/>
        <item x="122"/>
        <item x="269"/>
        <item x="437"/>
        <item x="42"/>
        <item x="394"/>
        <item x="169"/>
        <item x="91"/>
        <item x="183"/>
        <item x="87"/>
        <item x="253"/>
        <item x="476"/>
        <item x="450"/>
        <item x="366"/>
        <item x="374"/>
        <item x="180"/>
        <item x="342"/>
        <item x="418"/>
        <item x="157"/>
        <item x="9"/>
        <item x="360"/>
        <item x="351"/>
        <item x="190"/>
        <item x="331"/>
        <item x="448"/>
        <item x="452"/>
        <item x="84"/>
        <item x="1"/>
        <item x="272"/>
        <item x="257"/>
        <item x="69"/>
        <item x="206"/>
        <item x="147"/>
        <item x="49"/>
        <item x="125"/>
        <item x="117"/>
        <item x="226"/>
        <item x="11"/>
        <item x="54"/>
        <item x="466"/>
        <item x="144"/>
        <item x="283"/>
        <item x="229"/>
        <item x="354"/>
        <item x="480"/>
        <item x="23"/>
        <item x="132"/>
        <item x="96"/>
        <item x="151"/>
        <item x="40"/>
        <item x="13"/>
        <item x="321"/>
        <item x="208"/>
        <item x="150"/>
        <item x="228"/>
        <item x="492"/>
        <item x="240"/>
        <item x="436"/>
        <item x="481"/>
        <item x="430"/>
        <item x="188"/>
        <item x="168"/>
        <item x="156"/>
        <item x="80"/>
        <item x="286"/>
        <item x="146"/>
        <item x="220"/>
        <item x="249"/>
        <item x="85"/>
        <item x="318"/>
        <item x="420"/>
        <item x="303"/>
        <item x="161"/>
        <item x="110"/>
        <item x="337"/>
        <item x="260"/>
        <item x="64"/>
        <item x="414"/>
        <item x="242"/>
        <item x="22"/>
        <item x="463"/>
        <item x="462"/>
        <item x="179"/>
        <item x="409"/>
        <item x="53"/>
        <item x="52"/>
        <item x="128"/>
        <item x="415"/>
        <item x="126"/>
        <item x="212"/>
        <item x="358"/>
        <item x="291"/>
        <item x="396"/>
        <item x="284"/>
        <item x="158"/>
        <item x="314"/>
        <item x="27"/>
        <item x="94"/>
        <item x="68"/>
        <item x="376"/>
        <item x="216"/>
        <item x="215"/>
        <item x="336"/>
        <item x="338"/>
        <item x="14"/>
        <item x="185"/>
        <item x="246"/>
        <item x="497"/>
        <item x="89"/>
        <item x="316"/>
        <item x="203"/>
        <item x="15"/>
        <item x="139"/>
        <item x="37"/>
        <item x="370"/>
        <item x="281"/>
        <item x="287"/>
        <item x="353"/>
        <item x="400"/>
        <item x="165"/>
        <item x="417"/>
        <item x="469"/>
        <item x="35"/>
        <item x="189"/>
        <item x="153"/>
        <item x="99"/>
        <item x="458"/>
        <item x="186"/>
        <item x="71"/>
        <item x="312"/>
        <item x="130"/>
        <item x="410"/>
        <item x="77"/>
        <item x="444"/>
        <item x="237"/>
        <item x="325"/>
        <item x="61"/>
        <item x="181"/>
        <item x="322"/>
        <item x="494"/>
        <item x="137"/>
        <item x="224"/>
        <item x="273"/>
        <item x="364"/>
        <item x="50"/>
        <item x="43"/>
        <item x="343"/>
        <item x="225"/>
        <item x="24"/>
        <item x="301"/>
        <item x="484"/>
        <item x="297"/>
        <item x="349"/>
        <item x="359"/>
        <item x="55"/>
        <item x="175"/>
        <item x="275"/>
        <item x="51"/>
        <item x="333"/>
        <item x="460"/>
        <item x="292"/>
        <item x="348"/>
        <item x="19"/>
        <item x="310"/>
        <item x="427"/>
        <item x="276"/>
        <item x="347"/>
        <item x="233"/>
        <item x="232"/>
        <item x="194"/>
        <item x="145"/>
        <item x="455"/>
        <item x="172"/>
        <item x="482"/>
        <item x="369"/>
        <item x="282"/>
        <item x="184"/>
        <item x="116"/>
        <item x="393"/>
        <item x="88"/>
        <item x="296"/>
        <item x="324"/>
        <item x="473"/>
        <item x="12"/>
        <item x="439"/>
        <item x="44"/>
        <item x="478"/>
        <item x="371"/>
        <item x="59"/>
        <item x="323"/>
        <item x="262"/>
        <item x="289"/>
        <item x="192"/>
        <item x="459"/>
        <item x="335"/>
        <item x="187"/>
        <item x="197"/>
        <item x="8"/>
        <item x="429"/>
        <item x="305"/>
        <item x="356"/>
        <item x="163"/>
        <item x="385"/>
        <item x="227"/>
        <item x="327"/>
        <item x="243"/>
        <item x="261"/>
        <item x="219"/>
        <item x="234"/>
        <item x="196"/>
        <item x="344"/>
        <item x="36"/>
        <item x="365"/>
        <item x="131"/>
        <item x="339"/>
        <item x="108"/>
        <item x="290"/>
        <item x="255"/>
        <item x="207"/>
        <item x="214"/>
        <item x="399"/>
        <item x="209"/>
        <item x="73"/>
        <item x="123"/>
        <item x="375"/>
        <item x="389"/>
        <item x="355"/>
        <item x="182"/>
        <item x="334"/>
        <item x="105"/>
        <item x="453"/>
        <item x="107"/>
        <item x="464"/>
        <item x="222"/>
        <item x="213"/>
        <item x="133"/>
        <item x="167"/>
        <item x="47"/>
        <item x="426"/>
        <item x="29"/>
        <item x="403"/>
        <item x="4"/>
        <item x="428"/>
        <item x="32"/>
        <item x="461"/>
        <item x="441"/>
        <item x="446"/>
        <item x="114"/>
        <item x="328"/>
        <item x="244"/>
        <item x="254"/>
        <item x="449"/>
        <item x="6"/>
        <item x="295"/>
        <item x="79"/>
        <item x="39"/>
        <item x="496"/>
        <item x="298"/>
        <item x="111"/>
        <item x="346"/>
        <item x="363"/>
        <item x="285"/>
        <item x="488"/>
        <item x="258"/>
        <item x="134"/>
        <item x="112"/>
        <item x="205"/>
        <item x="265"/>
        <item x="308"/>
        <item x="395"/>
        <item x="202"/>
        <item x="293"/>
        <item x="76"/>
        <item x="320"/>
        <item x="75"/>
        <item x="313"/>
        <item x="231"/>
        <item x="200"/>
        <item x="404"/>
        <item x="390"/>
        <item x="431"/>
        <item x="7"/>
        <item x="201"/>
        <item x="198"/>
        <item x="493"/>
        <item x="121"/>
        <item x="251"/>
        <item x="101"/>
        <item x="171"/>
        <item x="30"/>
        <item x="70"/>
        <item x="263"/>
        <item x="239"/>
        <item x="259"/>
        <item x="21"/>
        <item x="195"/>
        <item x="109"/>
        <item x="18"/>
        <item x="31"/>
        <item x="65"/>
        <item x="309"/>
        <item x="288"/>
        <item x="422"/>
        <item x="490"/>
        <item x="100"/>
        <item x="264"/>
        <item x="17"/>
        <item x="457"/>
        <item x="129"/>
        <item x="178"/>
        <item x="387"/>
        <item x="173"/>
        <item x="143"/>
        <item x="142"/>
        <item x="294"/>
        <item x="495"/>
        <item x="326"/>
        <item x="20"/>
        <item x="210"/>
        <item x="57"/>
        <item x="411"/>
        <item x="211"/>
        <item x="124"/>
        <item x="465"/>
        <item x="499"/>
        <item x="266"/>
        <item x="306"/>
        <item x="92"/>
        <item x="149"/>
        <item x="479"/>
        <item x="136"/>
        <item x="46"/>
        <item x="489"/>
        <item x="485"/>
        <item x="103"/>
        <item x="315"/>
        <item x="138"/>
        <item x="221"/>
        <item x="152"/>
        <item x="401"/>
        <item x="319"/>
        <item x="332"/>
        <item x="277"/>
        <item x="330"/>
        <item x="350"/>
        <item x="477"/>
        <item x="58"/>
        <item x="230"/>
        <item x="300"/>
        <item x="176"/>
        <item x="104"/>
        <item x="267"/>
        <item x="113"/>
        <item x="278"/>
        <item x="447"/>
        <item x="3"/>
        <item x="304"/>
        <item x="236"/>
        <item x="120"/>
        <item x="440"/>
        <item x="235"/>
        <item x="380"/>
        <item x="256"/>
        <item x="398"/>
        <item x="317"/>
        <item x="95"/>
        <item x="86"/>
        <item x="74"/>
        <item x="408"/>
        <item x="405"/>
        <item x="468"/>
        <item x="299"/>
        <item x="340"/>
        <item x="352"/>
        <item x="432"/>
        <item x="119"/>
        <item x="160"/>
        <item x="118"/>
        <item x="252"/>
        <item x="10"/>
        <item x="434"/>
        <item x="248"/>
        <item x="341"/>
        <item x="357"/>
        <item x="419"/>
        <item x="491"/>
        <item x="383"/>
        <item x="378"/>
        <item x="382"/>
        <item x="56"/>
        <item x="162"/>
        <item x="62"/>
        <item x="311"/>
        <item x="472"/>
        <item x="83"/>
        <item x="115"/>
        <item x="386"/>
        <item x="362"/>
        <item x="245"/>
        <item x="379"/>
        <item x="487"/>
        <item x="470"/>
        <item x="45"/>
        <item x="159"/>
        <item x="127"/>
        <item x="154"/>
        <item x="98"/>
        <item x="435"/>
        <item x="48"/>
        <item x="82"/>
        <item x="140"/>
        <item x="329"/>
        <item x="274"/>
        <item x="397"/>
        <item x="425"/>
        <item x="483"/>
        <item x="438"/>
        <item x="191"/>
        <item x="474"/>
        <item x="66"/>
        <item x="498"/>
        <item x="106"/>
        <item x="164"/>
        <item x="28"/>
        <item x="402"/>
        <item x="241"/>
        <item x="391"/>
        <item x="377"/>
        <item x="486"/>
        <item x="407"/>
        <item x="26"/>
        <item x="78"/>
        <item x="421"/>
        <item x="97"/>
        <item x="367"/>
        <item x="38"/>
        <item x="177"/>
        <item x="218"/>
        <item x="443"/>
        <item x="454"/>
        <item x="199"/>
        <item x="72"/>
        <item x="60"/>
        <item x="279"/>
        <item x="412"/>
        <item x="381"/>
        <item x="102"/>
        <item x="442"/>
        <item x="271"/>
        <item x="25"/>
        <item x="302"/>
        <item x="368"/>
        <item x="467"/>
        <item x="90"/>
        <item x="345"/>
        <item x="247"/>
        <item x="5"/>
        <item x="141"/>
        <item x="471"/>
        <item x="373"/>
        <item x="204"/>
        <item x="193"/>
        <item x="413"/>
        <item x="280"/>
        <item x="388"/>
        <item x="174"/>
        <item x="250"/>
        <item x="384"/>
        <item x="372"/>
        <item x="67"/>
        <item x="34"/>
        <item x="433"/>
        <item x="424"/>
        <item x="268"/>
        <item x="392"/>
        <item x="238"/>
        <item x="223"/>
        <item x="217"/>
        <item x="2"/>
        <item x="81"/>
        <item x="423"/>
        <item x="445"/>
        <item x="0"/>
        <item x="307"/>
        <item x="63"/>
        <item x="41"/>
        <item x="451"/>
        <item x="475"/>
        <item x="148"/>
        <item x="406"/>
        <item x="170"/>
        <item x="33"/>
        <item x="456"/>
        <item x="16"/>
        <item x="155"/>
        <item t="default"/>
      </items>
    </pivotField>
    <pivotField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compact="0" showAll="0">
      <items count="8">
        <item x="5"/>
        <item x="1"/>
        <item x="4"/>
        <item x="3"/>
        <item x="2"/>
        <item x="0"/>
        <item x="6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pend ($)" fld="5" baseField="0" baseItem="0"/>
    <dataField name="Sum of Revenue ($)" fld="9" baseField="0" baseItem="0"/>
    <dataField name="Sum of Profit" fld="14" baseField="0" baseItem="0"/>
    <dataField name="Sum of Conversions" fld="8" baseField="0" baseItem="0"/>
    <dataField name="Sum of ROAS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indent="0" outline="1" outlineData="1" showDrill="1" multipleFieldFilters="0" chartFormat="8">
  <location ref="I13:L19" firstHeaderRow="0" firstDataRow="1" firstDataCol="1"/>
  <pivotFields count="17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80"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showAll="0"/>
    <pivotField dataField="1" numFmtId="3" showAll="0">
      <items count="501">
        <item x="313"/>
        <item x="269"/>
        <item x="401"/>
        <item x="99"/>
        <item x="492"/>
        <item x="272"/>
        <item x="215"/>
        <item x="167"/>
        <item x="163"/>
        <item x="121"/>
        <item x="362"/>
        <item x="243"/>
        <item x="213"/>
        <item x="8"/>
        <item x="294"/>
        <item x="189"/>
        <item x="319"/>
        <item x="386"/>
        <item x="11"/>
        <item x="76"/>
        <item x="482"/>
        <item x="426"/>
        <item x="186"/>
        <item x="212"/>
        <item x="459"/>
        <item x="150"/>
        <item x="371"/>
        <item x="346"/>
        <item x="216"/>
        <item x="96"/>
        <item x="139"/>
        <item x="181"/>
        <item x="15"/>
        <item x="473"/>
        <item x="233"/>
        <item x="48"/>
        <item x="353"/>
        <item x="284"/>
        <item x="126"/>
        <item x="464"/>
        <item x="405"/>
        <item x="490"/>
        <item x="7"/>
        <item x="49"/>
        <item x="1"/>
        <item x="236"/>
        <item x="244"/>
        <item x="407"/>
        <item x="472"/>
        <item x="286"/>
        <item x="117"/>
        <item x="234"/>
        <item x="123"/>
        <item x="348"/>
        <item x="454"/>
        <item x="273"/>
        <item x="495"/>
        <item x="336"/>
        <item x="389"/>
        <item x="316"/>
        <item x="338"/>
        <item x="289"/>
        <item x="498"/>
        <item x="422"/>
        <item x="366"/>
        <item x="12"/>
        <item x="175"/>
        <item x="32"/>
        <item x="30"/>
        <item x="396"/>
        <item x="242"/>
        <item x="276"/>
        <item x="278"/>
        <item x="144"/>
        <item x="416"/>
        <item x="152"/>
        <item x="253"/>
        <item x="283"/>
        <item x="469"/>
        <item x="180"/>
        <item x="6"/>
        <item x="462"/>
        <item x="71"/>
        <item x="437"/>
        <item x="494"/>
        <item x="29"/>
        <item x="232"/>
        <item x="474"/>
        <item x="267"/>
        <item x="39"/>
        <item x="340"/>
        <item x="260"/>
        <item x="471"/>
        <item x="322"/>
        <item x="169"/>
        <item x="64"/>
        <item x="191"/>
        <item x="420"/>
        <item x="14"/>
        <item x="328"/>
        <item x="365"/>
        <item x="143"/>
        <item x="154"/>
        <item x="133"/>
        <item x="52"/>
        <item x="263"/>
        <item x="285"/>
        <item x="239"/>
        <item x="36"/>
        <item x="55"/>
        <item x="61"/>
        <item x="235"/>
        <item x="308"/>
        <item x="128"/>
        <item x="57"/>
        <item x="28"/>
        <item x="145"/>
        <item x="83"/>
        <item x="357"/>
        <item x="194"/>
        <item x="91"/>
        <item x="329"/>
        <item x="417"/>
        <item x="485"/>
        <item x="440"/>
        <item x="227"/>
        <item x="321"/>
        <item x="192"/>
        <item x="361"/>
        <item x="74"/>
        <item x="38"/>
        <item x="158"/>
        <item x="318"/>
        <item x="248"/>
        <item x="84"/>
        <item x="375"/>
        <item x="224"/>
        <item x="457"/>
        <item x="393"/>
        <item x="3"/>
        <item x="403"/>
        <item x="228"/>
        <item x="178"/>
        <item x="282"/>
        <item x="415"/>
        <item x="306"/>
        <item x="75"/>
        <item x="68"/>
        <item x="427"/>
        <item x="317"/>
        <item x="201"/>
        <item x="165"/>
        <item x="452"/>
        <item x="453"/>
        <item x="447"/>
        <item x="86"/>
        <item x="314"/>
        <item x="113"/>
        <item x="356"/>
        <item x="225"/>
        <item x="296"/>
        <item x="488"/>
        <item x="279"/>
        <item x="47"/>
        <item x="203"/>
        <item x="468"/>
        <item x="288"/>
        <item x="54"/>
        <item x="430"/>
        <item x="93"/>
        <item x="484"/>
        <item x="43"/>
        <item x="252"/>
        <item x="77"/>
        <item x="342"/>
        <item x="141"/>
        <item x="171"/>
        <item x="277"/>
        <item x="246"/>
        <item x="326"/>
        <item x="351"/>
        <item x="369"/>
        <item x="73"/>
        <item x="497"/>
        <item x="418"/>
        <item x="442"/>
        <item x="254"/>
        <item x="204"/>
        <item x="237"/>
        <item x="465"/>
        <item x="168"/>
        <item x="327"/>
        <item x="78"/>
        <item x="298"/>
        <item x="460"/>
        <item x="429"/>
        <item x="226"/>
        <item x="332"/>
        <item x="53"/>
        <item x="358"/>
        <item x="290"/>
        <item x="190"/>
        <item x="487"/>
        <item x="219"/>
        <item x="18"/>
        <item x="446"/>
        <item x="179"/>
        <item x="2"/>
        <item x="412"/>
        <item x="206"/>
        <item x="35"/>
        <item x="45"/>
        <item x="37"/>
        <item x="176"/>
        <item x="325"/>
        <item x="157"/>
        <item x="410"/>
        <item x="333"/>
        <item x="481"/>
        <item x="378"/>
        <item x="95"/>
        <item x="335"/>
        <item x="458"/>
        <item x="24"/>
        <item x="385"/>
        <item x="449"/>
        <item x="370"/>
        <item x="480"/>
        <item x="305"/>
        <item x="211"/>
        <item x="409"/>
        <item x="160"/>
        <item x="388"/>
        <item x="255"/>
        <item x="161"/>
        <item x="104"/>
        <item x="0"/>
        <item x="441"/>
        <item x="97"/>
        <item x="257"/>
        <item x="59"/>
        <item x="195"/>
        <item x="79"/>
        <item x="182"/>
        <item x="337"/>
        <item x="119"/>
        <item x="281"/>
        <item x="368"/>
        <item x="382"/>
        <item x="310"/>
        <item x="90"/>
        <item x="13"/>
        <item x="159"/>
        <item x="264"/>
        <item x="461"/>
        <item x="5"/>
        <item x="200"/>
        <item x="112"/>
        <item x="146"/>
        <item x="367"/>
        <item x="400"/>
        <item x="20"/>
        <item x="271"/>
        <item x="177"/>
        <item x="411"/>
        <item x="98"/>
        <item x="127"/>
        <item x="166"/>
        <item x="147"/>
        <item x="377"/>
        <item x="66"/>
        <item x="184"/>
        <item x="421"/>
        <item x="303"/>
        <item x="349"/>
        <item x="372"/>
        <item x="218"/>
        <item x="183"/>
        <item x="89"/>
        <item x="23"/>
        <item x="111"/>
        <item x="428"/>
        <item x="230"/>
        <item x="106"/>
        <item x="19"/>
        <item x="359"/>
        <item x="295"/>
        <item x="343"/>
        <item x="63"/>
        <item x="172"/>
        <item x="438"/>
        <item x="245"/>
        <item x="62"/>
        <item x="137"/>
        <item x="208"/>
        <item x="92"/>
        <item x="404"/>
        <item x="82"/>
        <item x="70"/>
        <item x="470"/>
        <item x="22"/>
        <item x="222"/>
        <item x="131"/>
        <item x="125"/>
        <item x="81"/>
        <item x="499"/>
        <item x="390"/>
        <item x="251"/>
        <item x="198"/>
        <item x="85"/>
        <item x="320"/>
        <item x="435"/>
        <item x="249"/>
        <item x="466"/>
        <item x="174"/>
        <item x="432"/>
        <item x="419"/>
        <item x="27"/>
        <item x="132"/>
        <item x="443"/>
        <item x="60"/>
        <item x="394"/>
        <item x="26"/>
        <item x="108"/>
        <item x="376"/>
        <item x="287"/>
        <item x="58"/>
        <item x="34"/>
        <item x="100"/>
        <item x="486"/>
        <item x="110"/>
        <item x="266"/>
        <item x="451"/>
        <item x="196"/>
        <item x="399"/>
        <item x="229"/>
        <item x="120"/>
        <item x="408"/>
        <item x="450"/>
        <item x="142"/>
        <item x="118"/>
        <item x="330"/>
        <item x="476"/>
        <item x="197"/>
        <item x="483"/>
        <item x="103"/>
        <item x="424"/>
        <item x="496"/>
        <item x="297"/>
        <item x="364"/>
        <item x="88"/>
        <item x="344"/>
        <item x="149"/>
        <item x="202"/>
        <item x="315"/>
        <item x="31"/>
        <item x="265"/>
        <item x="238"/>
        <item x="56"/>
        <item x="87"/>
        <item x="193"/>
        <item x="270"/>
        <item x="324"/>
        <item x="21"/>
        <item x="258"/>
        <item x="44"/>
        <item x="241"/>
        <item x="312"/>
        <item x="205"/>
        <item x="339"/>
        <item x="493"/>
        <item x="187"/>
        <item x="240"/>
        <item x="402"/>
        <item x="413"/>
        <item x="50"/>
        <item x="436"/>
        <item x="156"/>
        <item x="292"/>
        <item x="148"/>
        <item x="67"/>
        <item x="94"/>
        <item x="124"/>
        <item x="301"/>
        <item x="136"/>
        <item x="363"/>
        <item x="380"/>
        <item x="395"/>
        <item x="491"/>
        <item x="122"/>
        <item x="334"/>
        <item x="262"/>
        <item x="489"/>
        <item x="188"/>
        <item x="217"/>
        <item x="135"/>
        <item x="185"/>
        <item x="151"/>
        <item x="51"/>
        <item x="42"/>
        <item x="384"/>
        <item x="352"/>
        <item x="479"/>
        <item x="280"/>
        <item x="199"/>
        <item x="304"/>
        <item x="114"/>
        <item x="331"/>
        <item x="383"/>
        <item x="448"/>
        <item x="302"/>
        <item x="72"/>
        <item x="162"/>
        <item x="444"/>
        <item x="138"/>
        <item x="433"/>
        <item x="46"/>
        <item x="309"/>
        <item x="475"/>
        <item x="102"/>
        <item x="391"/>
        <item x="105"/>
        <item x="414"/>
        <item x="360"/>
        <item x="17"/>
        <item x="40"/>
        <item x="214"/>
        <item x="107"/>
        <item x="275"/>
        <item x="231"/>
        <item x="247"/>
        <item x="434"/>
        <item x="423"/>
        <item x="41"/>
        <item x="307"/>
        <item x="398"/>
        <item x="431"/>
        <item x="65"/>
        <item x="381"/>
        <item x="155"/>
        <item x="478"/>
        <item x="116"/>
        <item x="374"/>
        <item x="373"/>
        <item x="323"/>
        <item x="9"/>
        <item x="220"/>
        <item x="379"/>
        <item x="109"/>
        <item x="16"/>
        <item x="445"/>
        <item x="392"/>
        <item x="25"/>
        <item x="153"/>
        <item x="80"/>
        <item x="425"/>
        <item x="355"/>
        <item x="207"/>
        <item x="33"/>
        <item x="101"/>
        <item x="439"/>
        <item x="261"/>
        <item x="4"/>
        <item x="173"/>
        <item x="210"/>
        <item x="69"/>
        <item x="274"/>
        <item x="293"/>
        <item x="300"/>
        <item x="455"/>
        <item x="347"/>
        <item x="406"/>
        <item x="256"/>
        <item x="397"/>
        <item x="170"/>
        <item x="463"/>
        <item x="354"/>
        <item x="456"/>
        <item x="345"/>
        <item x="259"/>
        <item x="10"/>
        <item x="209"/>
        <item x="291"/>
        <item x="299"/>
        <item x="134"/>
        <item x="350"/>
        <item x="115"/>
        <item x="268"/>
        <item x="341"/>
        <item x="387"/>
        <item x="130"/>
        <item x="250"/>
        <item x="221"/>
        <item x="311"/>
        <item x="164"/>
        <item x="467"/>
        <item x="140"/>
        <item x="223"/>
        <item x="129"/>
        <item x="477"/>
        <item t="default"/>
      </items>
    </pivotField>
    <pivotField dataField="1" numFmtId="3" showAll="0">
      <items count="483">
        <item x="346"/>
        <item x="407"/>
        <item x="281"/>
        <item x="444"/>
        <item x="345"/>
        <item x="315"/>
        <item x="284"/>
        <item x="338"/>
        <item x="335"/>
        <item x="266"/>
        <item x="464"/>
        <item x="1"/>
        <item x="168"/>
        <item x="188"/>
        <item x="300"/>
        <item x="12"/>
        <item x="243"/>
        <item x="187"/>
        <item x="280"/>
        <item x="174"/>
        <item x="269"/>
        <item x="116"/>
        <item x="278"/>
        <item x="404"/>
        <item x="38"/>
        <item x="125"/>
        <item x="83"/>
        <item x="306"/>
        <item x="90"/>
        <item x="328"/>
        <item x="217"/>
        <item x="438"/>
        <item x="180"/>
        <item x="157"/>
        <item x="417"/>
        <item x="70"/>
        <item x="223"/>
        <item x="225"/>
        <item x="6"/>
        <item x="194"/>
        <item x="15"/>
        <item x="375"/>
        <item x="199"/>
        <item x="252"/>
        <item x="144"/>
        <item x="387"/>
        <item x="88"/>
        <item x="356"/>
        <item x="43"/>
        <item x="385"/>
        <item x="46"/>
        <item x="179"/>
        <item x="98"/>
        <item x="357"/>
        <item x="398"/>
        <item x="109"/>
        <item x="20"/>
        <item x="160"/>
        <item x="222"/>
        <item x="218"/>
        <item x="195"/>
        <item x="476"/>
        <item x="227"/>
        <item x="334"/>
        <item x="214"/>
        <item x="142"/>
        <item x="478"/>
        <item x="446"/>
        <item x="226"/>
        <item x="390"/>
        <item x="201"/>
        <item x="24"/>
        <item x="156"/>
        <item x="86"/>
        <item x="307"/>
        <item x="84"/>
        <item x="313"/>
        <item x="138"/>
        <item x="205"/>
        <item x="124"/>
        <item x="383"/>
        <item x="21"/>
        <item x="136"/>
        <item x="213"/>
        <item x="185"/>
        <item x="312"/>
        <item x="240"/>
        <item x="35"/>
        <item x="449"/>
        <item x="122"/>
        <item x="162"/>
        <item x="198"/>
        <item x="190"/>
        <item x="113"/>
        <item x="60"/>
        <item x="426"/>
        <item x="326"/>
        <item x="351"/>
        <item x="63"/>
        <item x="259"/>
        <item x="282"/>
        <item x="447"/>
        <item x="49"/>
        <item x="427"/>
        <item x="166"/>
        <item x="366"/>
        <item x="74"/>
        <item x="92"/>
        <item x="360"/>
        <item x="106"/>
        <item x="413"/>
        <item x="75"/>
        <item x="409"/>
        <item x="112"/>
        <item x="104"/>
        <item x="352"/>
        <item x="149"/>
        <item x="145"/>
        <item x="425"/>
        <item x="87"/>
        <item x="14"/>
        <item x="289"/>
        <item x="394"/>
        <item x="339"/>
        <item x="361"/>
        <item x="353"/>
        <item x="8"/>
        <item x="120"/>
        <item x="340"/>
        <item x="11"/>
        <item x="260"/>
        <item x="76"/>
        <item x="256"/>
        <item x="53"/>
        <item x="228"/>
        <item x="241"/>
        <item x="466"/>
        <item x="321"/>
        <item x="211"/>
        <item x="412"/>
        <item x="28"/>
        <item x="203"/>
        <item x="433"/>
        <item x="389"/>
        <item x="54"/>
        <item x="403"/>
        <item x="318"/>
        <item x="457"/>
        <item x="432"/>
        <item x="30"/>
        <item x="453"/>
        <item x="58"/>
        <item x="237"/>
        <item x="100"/>
        <item x="182"/>
        <item x="164"/>
        <item x="192"/>
        <item x="238"/>
        <item x="264"/>
        <item x="108"/>
        <item x="64"/>
        <item x="210"/>
        <item x="277"/>
        <item x="468"/>
        <item x="103"/>
        <item x="52"/>
        <item x="292"/>
        <item x="50"/>
        <item x="209"/>
        <item x="119"/>
        <item x="55"/>
        <item x="290"/>
        <item x="141"/>
        <item x="458"/>
        <item x="242"/>
        <item x="415"/>
        <item x="320"/>
        <item x="465"/>
        <item x="72"/>
        <item x="107"/>
        <item x="153"/>
        <item x="235"/>
        <item x="301"/>
        <item x="254"/>
        <item x="184"/>
        <item x="17"/>
        <item x="143"/>
        <item x="250"/>
        <item x="414"/>
        <item x="93"/>
        <item x="460"/>
        <item x="469"/>
        <item x="274"/>
        <item x="95"/>
        <item x="376"/>
        <item x="448"/>
        <item x="479"/>
        <item x="324"/>
        <item x="396"/>
        <item x="73"/>
        <item x="39"/>
        <item x="384"/>
        <item x="7"/>
        <item x="248"/>
        <item x="461"/>
        <item x="135"/>
        <item x="365"/>
        <item x="31"/>
        <item x="29"/>
        <item x="231"/>
        <item x="303"/>
        <item x="257"/>
        <item x="380"/>
        <item x="474"/>
        <item x="196"/>
        <item x="78"/>
        <item x="48"/>
        <item x="272"/>
        <item x="26"/>
        <item x="392"/>
        <item x="456"/>
        <item x="97"/>
        <item x="177"/>
        <item x="310"/>
        <item x="47"/>
        <item x="69"/>
        <item x="146"/>
        <item x="13"/>
        <item x="51"/>
        <item x="158"/>
        <item x="59"/>
        <item x="234"/>
        <item x="251"/>
        <item x="167"/>
        <item x="56"/>
        <item x="319"/>
        <item x="455"/>
        <item x="480"/>
        <item x="232"/>
        <item x="379"/>
        <item x="110"/>
        <item x="57"/>
        <item x="151"/>
        <item x="439"/>
        <item x="327"/>
        <item x="399"/>
        <item x="279"/>
        <item x="442"/>
        <item x="336"/>
        <item x="132"/>
        <item x="249"/>
        <item x="370"/>
        <item x="330"/>
        <item x="189"/>
        <item x="295"/>
        <item x="161"/>
        <item x="350"/>
        <item x="42"/>
        <item x="220"/>
        <item x="424"/>
        <item x="230"/>
        <item x="175"/>
        <item x="267"/>
        <item x="118"/>
        <item x="171"/>
        <item x="347"/>
        <item x="82"/>
        <item x="405"/>
        <item x="286"/>
        <item x="239"/>
        <item x="322"/>
        <item x="467"/>
        <item x="332"/>
        <item x="475"/>
        <item x="421"/>
        <item x="27"/>
        <item x="348"/>
        <item x="37"/>
        <item x="288"/>
        <item x="129"/>
        <item x="61"/>
        <item x="193"/>
        <item x="451"/>
        <item x="462"/>
        <item x="245"/>
        <item x="3"/>
        <item x="202"/>
        <item x="233"/>
        <item x="170"/>
        <item x="207"/>
        <item x="163"/>
        <item x="127"/>
        <item x="212"/>
        <item x="428"/>
        <item x="378"/>
        <item x="358"/>
        <item x="67"/>
        <item x="349"/>
        <item x="165"/>
        <item x="419"/>
        <item x="81"/>
        <item x="200"/>
        <item x="18"/>
        <item x="105"/>
        <item x="329"/>
        <item x="121"/>
        <item x="246"/>
        <item x="372"/>
        <item x="299"/>
        <item x="393"/>
        <item x="96"/>
        <item x="94"/>
        <item x="80"/>
        <item x="85"/>
        <item x="206"/>
        <item x="178"/>
        <item x="343"/>
        <item x="452"/>
        <item x="445"/>
        <item x="443"/>
        <item x="273"/>
        <item x="296"/>
        <item x="402"/>
        <item x="440"/>
        <item x="261"/>
        <item x="155"/>
        <item x="253"/>
        <item x="262"/>
        <item x="311"/>
        <item x="68"/>
        <item x="283"/>
        <item x="134"/>
        <item x="435"/>
        <item x="244"/>
        <item x="66"/>
        <item x="101"/>
        <item x="298"/>
        <item x="271"/>
        <item x="472"/>
        <item x="333"/>
        <item x="355"/>
        <item x="258"/>
        <item x="77"/>
        <item x="44"/>
        <item x="140"/>
        <item x="354"/>
        <item x="471"/>
        <item x="275"/>
        <item x="181"/>
        <item x="22"/>
        <item x="34"/>
        <item x="102"/>
        <item x="422"/>
        <item x="99"/>
        <item x="454"/>
        <item x="23"/>
        <item x="204"/>
        <item x="216"/>
        <item x="176"/>
        <item x="371"/>
        <item x="291"/>
        <item x="45"/>
        <item x="308"/>
        <item x="293"/>
        <item x="183"/>
        <item x="450"/>
        <item x="325"/>
        <item x="341"/>
        <item x="367"/>
        <item x="285"/>
        <item x="401"/>
        <item x="19"/>
        <item x="368"/>
        <item x="152"/>
        <item x="436"/>
        <item x="263"/>
        <item x="224"/>
        <item x="5"/>
        <item x="36"/>
        <item x="294"/>
        <item x="397"/>
        <item x="9"/>
        <item x="172"/>
        <item x="416"/>
        <item x="373"/>
        <item x="400"/>
        <item x="186"/>
        <item x="418"/>
        <item x="481"/>
        <item x="359"/>
        <item x="130"/>
        <item x="137"/>
        <item x="2"/>
        <item x="0"/>
        <item x="410"/>
        <item x="268"/>
        <item x="111"/>
        <item x="62"/>
        <item x="430"/>
        <item x="437"/>
        <item x="470"/>
        <item x="388"/>
        <item x="126"/>
        <item x="208"/>
        <item x="159"/>
        <item x="391"/>
        <item x="374"/>
        <item x="363"/>
        <item x="115"/>
        <item x="215"/>
        <item x="117"/>
        <item x="41"/>
        <item x="65"/>
        <item x="265"/>
        <item x="139"/>
        <item x="323"/>
        <item x="473"/>
        <item x="302"/>
        <item x="89"/>
        <item x="91"/>
        <item x="331"/>
        <item x="309"/>
        <item x="406"/>
        <item x="255"/>
        <item x="236"/>
        <item x="317"/>
        <item x="314"/>
        <item x="362"/>
        <item x="411"/>
        <item x="71"/>
        <item x="344"/>
        <item x="408"/>
        <item x="377"/>
        <item x="191"/>
        <item x="173"/>
        <item x="150"/>
        <item x="33"/>
        <item x="128"/>
        <item x="369"/>
        <item x="270"/>
        <item x="287"/>
        <item x="123"/>
        <item x="429"/>
        <item x="364"/>
        <item x="131"/>
        <item x="423"/>
        <item x="276"/>
        <item x="147"/>
        <item x="477"/>
        <item x="304"/>
        <item x="148"/>
        <item x="382"/>
        <item x="25"/>
        <item x="297"/>
        <item x="459"/>
        <item x="197"/>
        <item x="154"/>
        <item x="229"/>
        <item x="395"/>
        <item x="219"/>
        <item x="32"/>
        <item x="420"/>
        <item x="337"/>
        <item x="221"/>
        <item x="434"/>
        <item x="247"/>
        <item x="316"/>
        <item x="463"/>
        <item x="305"/>
        <item x="342"/>
        <item x="381"/>
        <item x="386"/>
        <item x="79"/>
        <item x="114"/>
        <item x="4"/>
        <item x="441"/>
        <item x="40"/>
        <item x="133"/>
        <item x="16"/>
        <item x="169"/>
        <item x="431"/>
        <item x="10"/>
        <item t="default"/>
      </items>
    </pivotField>
    <pivotField dataField="1" numFmtId="3" showAll="0">
      <items count="352">
        <item x="48"/>
        <item x="311"/>
        <item x="231"/>
        <item x="134"/>
        <item x="13"/>
        <item x="189"/>
        <item x="138"/>
        <item x="120"/>
        <item x="275"/>
        <item x="254"/>
        <item x="276"/>
        <item x="9"/>
        <item x="14"/>
        <item x="37"/>
        <item x="1"/>
        <item x="24"/>
        <item x="81"/>
        <item x="338"/>
        <item x="88"/>
        <item x="35"/>
        <item x="262"/>
        <item x="285"/>
        <item x="67"/>
        <item x="113"/>
        <item x="333"/>
        <item x="145"/>
        <item x="252"/>
        <item x="147"/>
        <item x="85"/>
        <item x="22"/>
        <item x="122"/>
        <item x="186"/>
        <item x="43"/>
        <item x="330"/>
        <item x="156"/>
        <item x="327"/>
        <item x="219"/>
        <item x="142"/>
        <item x="278"/>
        <item x="305"/>
        <item x="173"/>
        <item x="221"/>
        <item x="248"/>
        <item x="126"/>
        <item x="168"/>
        <item x="232"/>
        <item x="137"/>
        <item x="202"/>
        <item x="118"/>
        <item x="79"/>
        <item x="205"/>
        <item x="199"/>
        <item x="19"/>
        <item x="273"/>
        <item x="132"/>
        <item x="150"/>
        <item x="230"/>
        <item x="12"/>
        <item x="347"/>
        <item x="242"/>
        <item x="52"/>
        <item x="233"/>
        <item x="176"/>
        <item x="78"/>
        <item x="334"/>
        <item x="267"/>
        <item x="42"/>
        <item x="329"/>
        <item x="110"/>
        <item x="15"/>
        <item x="11"/>
        <item x="91"/>
        <item x="310"/>
        <item x="131"/>
        <item x="128"/>
        <item x="127"/>
        <item x="256"/>
        <item x="100"/>
        <item x="72"/>
        <item x="188"/>
        <item x="349"/>
        <item x="161"/>
        <item x="159"/>
        <item x="106"/>
        <item x="160"/>
        <item x="66"/>
        <item x="255"/>
        <item x="178"/>
        <item x="171"/>
        <item x="158"/>
        <item x="59"/>
        <item x="235"/>
        <item x="195"/>
        <item x="213"/>
        <item x="172"/>
        <item x="250"/>
        <item x="83"/>
        <item x="269"/>
        <item x="332"/>
        <item x="146"/>
        <item x="264"/>
        <item x="40"/>
        <item x="182"/>
        <item x="153"/>
        <item x="107"/>
        <item x="209"/>
        <item x="117"/>
        <item x="281"/>
        <item x="229"/>
        <item x="237"/>
        <item x="36"/>
        <item x="51"/>
        <item x="27"/>
        <item x="191"/>
        <item x="325"/>
        <item x="238"/>
        <item x="30"/>
        <item x="206"/>
        <item x="62"/>
        <item x="104"/>
        <item x="157"/>
        <item x="39"/>
        <item x="190"/>
        <item x="6"/>
        <item x="197"/>
        <item x="277"/>
        <item x="125"/>
        <item x="82"/>
        <item x="139"/>
        <item x="187"/>
        <item x="177"/>
        <item x="63"/>
        <item x="115"/>
        <item x="46"/>
        <item x="284"/>
        <item x="50"/>
        <item x="23"/>
        <item x="93"/>
        <item x="164"/>
        <item x="298"/>
        <item x="116"/>
        <item x="184"/>
        <item x="143"/>
        <item x="74"/>
        <item x="111"/>
        <item x="92"/>
        <item x="253"/>
        <item x="20"/>
        <item x="318"/>
        <item x="306"/>
        <item x="295"/>
        <item x="7"/>
        <item x="223"/>
        <item x="179"/>
        <item x="96"/>
        <item x="45"/>
        <item x="239"/>
        <item x="154"/>
        <item x="345"/>
        <item x="224"/>
        <item x="323"/>
        <item x="21"/>
        <item x="350"/>
        <item x="249"/>
        <item x="53"/>
        <item x="192"/>
        <item x="69"/>
        <item x="8"/>
        <item x="57"/>
        <item x="71"/>
        <item x="301"/>
        <item x="49"/>
        <item x="29"/>
        <item x="3"/>
        <item x="226"/>
        <item x="344"/>
        <item x="245"/>
        <item x="101"/>
        <item x="98"/>
        <item x="17"/>
        <item x="194"/>
        <item x="270"/>
        <item x="307"/>
        <item x="263"/>
        <item x="167"/>
        <item x="200"/>
        <item x="251"/>
        <item x="217"/>
        <item x="151"/>
        <item x="165"/>
        <item x="319"/>
        <item x="317"/>
        <item x="212"/>
        <item x="87"/>
        <item x="265"/>
        <item x="240"/>
        <item x="271"/>
        <item x="214"/>
        <item x="119"/>
        <item x="257"/>
        <item x="103"/>
        <item x="56"/>
        <item x="339"/>
        <item x="31"/>
        <item x="216"/>
        <item x="326"/>
        <item x="55"/>
        <item x="102"/>
        <item x="207"/>
        <item x="236"/>
        <item x="175"/>
        <item x="316"/>
        <item x="208"/>
        <item x="54"/>
        <item x="86"/>
        <item x="287"/>
        <item x="259"/>
        <item x="109"/>
        <item x="341"/>
        <item x="80"/>
        <item x="163"/>
        <item x="4"/>
        <item x="90"/>
        <item x="211"/>
        <item x="193"/>
        <item x="346"/>
        <item x="170"/>
        <item x="304"/>
        <item x="288"/>
        <item x="76"/>
        <item x="174"/>
        <item x="32"/>
        <item x="258"/>
        <item x="135"/>
        <item x="312"/>
        <item x="44"/>
        <item x="293"/>
        <item x="290"/>
        <item x="291"/>
        <item x="99"/>
        <item x="246"/>
        <item x="260"/>
        <item x="114"/>
        <item x="70"/>
        <item x="201"/>
        <item x="26"/>
        <item x="234"/>
        <item x="348"/>
        <item x="47"/>
        <item x="343"/>
        <item x="183"/>
        <item x="28"/>
        <item x="112"/>
        <item x="204"/>
        <item x="300"/>
        <item x="272"/>
        <item x="58"/>
        <item x="133"/>
        <item x="121"/>
        <item x="141"/>
        <item x="198"/>
        <item x="321"/>
        <item x="97"/>
        <item x="225"/>
        <item x="335"/>
        <item x="222"/>
        <item x="95"/>
        <item x="299"/>
        <item x="60"/>
        <item x="38"/>
        <item x="296"/>
        <item x="279"/>
        <item x="140"/>
        <item x="289"/>
        <item x="144"/>
        <item x="18"/>
        <item x="340"/>
        <item x="308"/>
        <item x="261"/>
        <item x="149"/>
        <item x="283"/>
        <item x="322"/>
        <item x="162"/>
        <item x="215"/>
        <item x="94"/>
        <item x="68"/>
        <item x="266"/>
        <item x="64"/>
        <item x="247"/>
        <item x="77"/>
        <item x="336"/>
        <item x="210"/>
        <item x="324"/>
        <item x="130"/>
        <item x="342"/>
        <item x="227"/>
        <item x="108"/>
        <item x="89"/>
        <item x="169"/>
        <item x="294"/>
        <item x="309"/>
        <item x="65"/>
        <item x="84"/>
        <item x="274"/>
        <item x="268"/>
        <item x="34"/>
        <item x="73"/>
        <item x="241"/>
        <item x="10"/>
        <item x="218"/>
        <item x="320"/>
        <item x="185"/>
        <item x="155"/>
        <item x="75"/>
        <item x="5"/>
        <item x="181"/>
        <item x="302"/>
        <item x="286"/>
        <item x="152"/>
        <item x="124"/>
        <item x="196"/>
        <item x="203"/>
        <item x="314"/>
        <item x="61"/>
        <item x="297"/>
        <item x="220"/>
        <item x="105"/>
        <item x="180"/>
        <item x="292"/>
        <item x="2"/>
        <item x="244"/>
        <item x="337"/>
        <item x="313"/>
        <item x="0"/>
        <item x="280"/>
        <item x="328"/>
        <item x="123"/>
        <item x="166"/>
        <item x="303"/>
        <item x="129"/>
        <item x="148"/>
        <item x="315"/>
        <item x="243"/>
        <item x="228"/>
        <item x="331"/>
        <item x="282"/>
        <item x="41"/>
        <item x="16"/>
        <item x="25"/>
        <item x="33"/>
        <item x="1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mpressions" fld="6" baseField="0" baseItem="0" numFmtId="3"/>
    <dataField name="Sum of Clicks" fld="7" baseField="0" baseItem="0" numFmtId="3"/>
    <dataField name="Sum of Conversions" fld="8" baseField="0" baseItem="0" numFmtId="3"/>
  </dataFields>
  <formats count="4">
    <format dxfId="0">
      <pivotArea field="2" type="button" dataOnly="0" labelOnly="1" outline="0" fieldPosition="0"/>
    </format>
    <format dxfId="1">
      <pivotArea grandRow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grandRow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grandRow="1"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10">
  <location ref="B20:D28" firstHeaderRow="0" firstDataRow="1" firstDataCol="1"/>
  <pivotFields count="1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>
      <items count="174">
        <item x="64"/>
        <item x="109"/>
        <item x="121"/>
        <item x="68"/>
        <item x="81"/>
        <item x="118"/>
        <item x="37"/>
        <item x="116"/>
        <item x="142"/>
        <item x="53"/>
        <item x="13"/>
        <item x="123"/>
        <item x="91"/>
        <item x="139"/>
        <item x="136"/>
        <item x="30"/>
        <item x="57"/>
        <item x="146"/>
        <item x="126"/>
        <item x="143"/>
        <item x="125"/>
        <item x="165"/>
        <item x="102"/>
        <item x="41"/>
        <item x="101"/>
        <item x="156"/>
        <item x="113"/>
        <item x="170"/>
        <item x="46"/>
        <item x="74"/>
        <item x="17"/>
        <item x="168"/>
        <item x="36"/>
        <item x="12"/>
        <item x="85"/>
        <item x="1"/>
        <item x="129"/>
        <item x="134"/>
        <item x="26"/>
        <item x="87"/>
        <item x="166"/>
        <item x="47"/>
        <item x="48"/>
        <item x="89"/>
        <item x="150"/>
        <item x="59"/>
        <item x="152"/>
        <item x="127"/>
        <item x="8"/>
        <item x="14"/>
        <item x="138"/>
        <item x="43"/>
        <item x="157"/>
        <item x="140"/>
        <item x="111"/>
        <item x="84"/>
        <item x="60"/>
        <item x="160"/>
        <item x="99"/>
        <item x="32"/>
        <item x="112"/>
        <item x="22"/>
        <item x="49"/>
        <item x="162"/>
        <item x="67"/>
        <item x="128"/>
        <item x="108"/>
        <item x="76"/>
        <item x="54"/>
        <item x="29"/>
        <item x="62"/>
        <item x="65"/>
        <item x="148"/>
        <item x="90"/>
        <item x="79"/>
        <item x="55"/>
        <item x="106"/>
        <item x="83"/>
        <item x="75"/>
        <item x="24"/>
        <item x="34"/>
        <item x="61"/>
        <item x="15"/>
        <item x="42"/>
        <item x="45"/>
        <item x="172"/>
        <item x="115"/>
        <item x="133"/>
        <item x="66"/>
        <item x="132"/>
        <item x="56"/>
        <item x="82"/>
        <item x="158"/>
        <item x="153"/>
        <item x="145"/>
        <item x="105"/>
        <item x="73"/>
        <item x="149"/>
        <item x="9"/>
        <item x="147"/>
        <item x="6"/>
        <item x="52"/>
        <item x="35"/>
        <item x="131"/>
        <item x="167"/>
        <item x="2"/>
        <item x="77"/>
        <item x="23"/>
        <item x="10"/>
        <item x="31"/>
        <item x="7"/>
        <item x="58"/>
        <item x="122"/>
        <item x="33"/>
        <item x="151"/>
        <item x="169"/>
        <item x="96"/>
        <item x="38"/>
        <item x="5"/>
        <item x="114"/>
        <item x="21"/>
        <item x="70"/>
        <item x="27"/>
        <item x="51"/>
        <item x="88"/>
        <item x="98"/>
        <item x="50"/>
        <item x="137"/>
        <item x="78"/>
        <item x="80"/>
        <item x="120"/>
        <item x="86"/>
        <item x="103"/>
        <item x="71"/>
        <item x="0"/>
        <item x="107"/>
        <item x="171"/>
        <item x="104"/>
        <item x="19"/>
        <item x="39"/>
        <item x="161"/>
        <item x="93"/>
        <item x="155"/>
        <item x="97"/>
        <item x="110"/>
        <item x="4"/>
        <item x="130"/>
        <item x="100"/>
        <item x="154"/>
        <item x="163"/>
        <item x="124"/>
        <item x="40"/>
        <item x="141"/>
        <item x="135"/>
        <item x="94"/>
        <item x="69"/>
        <item x="28"/>
        <item x="16"/>
        <item x="117"/>
        <item x="11"/>
        <item x="44"/>
        <item x="3"/>
        <item x="92"/>
        <item x="25"/>
        <item x="20"/>
        <item x="164"/>
        <item x="144"/>
        <item x="72"/>
        <item x="18"/>
        <item x="159"/>
        <item x="95"/>
        <item x="119"/>
        <item x="63"/>
        <item t="default"/>
      </items>
    </pivotField>
    <pivotField compact="0" showAll="0">
      <items count="6">
        <item x="1"/>
        <item x="0"/>
        <item x="4"/>
        <item x="3"/>
        <item x="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01">
        <item x="24"/>
        <item x="315"/>
        <item x="152"/>
        <item x="280"/>
        <item x="57"/>
        <item x="312"/>
        <item x="294"/>
        <item x="79"/>
        <item x="349"/>
        <item x="104"/>
        <item x="411"/>
        <item x="14"/>
        <item x="95"/>
        <item x="97"/>
        <item x="472"/>
        <item x="56"/>
        <item x="474"/>
        <item x="162"/>
        <item x="398"/>
        <item x="319"/>
        <item x="100"/>
        <item x="434"/>
        <item x="176"/>
        <item x="471"/>
        <item x="2"/>
        <item x="346"/>
        <item x="123"/>
        <item x="118"/>
        <item x="446"/>
        <item x="224"/>
        <item x="320"/>
        <item x="67"/>
        <item x="282"/>
        <item x="201"/>
        <item x="372"/>
        <item x="74"/>
        <item x="124"/>
        <item x="113"/>
        <item x="296"/>
        <item x="425"/>
        <item x="33"/>
        <item x="41"/>
        <item x="182"/>
        <item x="111"/>
        <item x="250"/>
        <item x="143"/>
        <item x="153"/>
        <item x="30"/>
        <item x="44"/>
        <item x="98"/>
        <item x="196"/>
        <item x="387"/>
        <item x="373"/>
        <item x="455"/>
        <item x="310"/>
        <item x="7"/>
        <item x="478"/>
        <item x="242"/>
        <item x="22"/>
        <item x="426"/>
        <item x="192"/>
        <item x="173"/>
        <item x="407"/>
        <item x="267"/>
        <item x="106"/>
        <item x="388"/>
        <item x="37"/>
        <item x="460"/>
        <item x="404"/>
        <item x="243"/>
        <item x="432"/>
        <item x="467"/>
        <item x="200"/>
        <item x="464"/>
        <item x="199"/>
        <item x="114"/>
        <item x="365"/>
        <item x="129"/>
        <item x="295"/>
        <item x="456"/>
        <item x="457"/>
        <item x="289"/>
        <item x="442"/>
        <item x="5"/>
        <item x="413"/>
        <item x="39"/>
        <item x="285"/>
        <item x="78"/>
        <item x="19"/>
        <item x="470"/>
        <item x="202"/>
        <item x="300"/>
        <item x="207"/>
        <item x="284"/>
        <item x="214"/>
        <item x="187"/>
        <item x="486"/>
        <item x="99"/>
        <item x="441"/>
        <item x="405"/>
        <item x="293"/>
        <item x="156"/>
        <item x="71"/>
        <item x="444"/>
        <item x="36"/>
        <item x="344"/>
        <item x="363"/>
        <item x="248"/>
        <item x="357"/>
        <item x="221"/>
        <item x="195"/>
        <item x="63"/>
        <item x="231"/>
        <item x="75"/>
        <item x="222"/>
        <item x="440"/>
        <item x="458"/>
        <item x="179"/>
        <item x="254"/>
        <item x="35"/>
        <item x="336"/>
        <item x="47"/>
        <item x="236"/>
        <item x="227"/>
        <item x="461"/>
        <item x="193"/>
        <item x="391"/>
        <item x="325"/>
        <item x="420"/>
        <item x="103"/>
        <item x="409"/>
        <item x="164"/>
        <item x="229"/>
        <item x="48"/>
        <item x="223"/>
        <item x="96"/>
        <item x="232"/>
        <item x="423"/>
        <item x="396"/>
        <item x="247"/>
        <item x="12"/>
        <item x="28"/>
        <item x="34"/>
        <item x="125"/>
        <item x="45"/>
        <item x="401"/>
        <item x="230"/>
        <item x="72"/>
        <item x="428"/>
        <item x="139"/>
        <item x="274"/>
        <item x="251"/>
        <item x="273"/>
        <item x="234"/>
        <item x="436"/>
        <item x="60"/>
        <item x="256"/>
        <item x="261"/>
        <item x="238"/>
        <item x="65"/>
        <item x="188"/>
        <item x="429"/>
        <item x="165"/>
        <item x="356"/>
        <item x="110"/>
        <item x="220"/>
        <item x="21"/>
        <item x="26"/>
        <item x="279"/>
        <item x="219"/>
        <item x="46"/>
        <item x="495"/>
        <item x="81"/>
        <item x="449"/>
        <item x="376"/>
        <item x="497"/>
        <item x="290"/>
        <item x="0"/>
        <item x="116"/>
        <item x="155"/>
        <item x="94"/>
        <item x="172"/>
        <item x="213"/>
        <item x="303"/>
        <item x="59"/>
        <item x="120"/>
        <item x="496"/>
        <item x="20"/>
        <item x="321"/>
        <item x="422"/>
        <item x="430"/>
        <item x="288"/>
        <item x="185"/>
        <item x="491"/>
        <item x="489"/>
        <item x="291"/>
        <item x="318"/>
        <item x="408"/>
        <item x="268"/>
        <item x="308"/>
        <item x="82"/>
        <item x="218"/>
        <item x="6"/>
        <item x="329"/>
        <item x="493"/>
        <item x="305"/>
        <item x="189"/>
        <item x="246"/>
        <item x="13"/>
        <item x="142"/>
        <item x="481"/>
        <item x="333"/>
        <item x="438"/>
        <item x="277"/>
        <item x="287"/>
        <item x="463"/>
        <item x="421"/>
        <item x="8"/>
        <item x="447"/>
        <item x="499"/>
        <item x="175"/>
        <item x="323"/>
        <item x="233"/>
        <item x="417"/>
        <item x="307"/>
        <item x="51"/>
        <item x="419"/>
        <item x="194"/>
        <item x="141"/>
        <item x="379"/>
        <item x="377"/>
        <item x="326"/>
        <item x="443"/>
        <item x="278"/>
        <item x="77"/>
        <item x="49"/>
        <item x="134"/>
        <item x="264"/>
        <item x="389"/>
        <item x="43"/>
        <item x="190"/>
        <item x="9"/>
        <item x="459"/>
        <item x="477"/>
        <item x="102"/>
        <item x="32"/>
        <item x="311"/>
        <item x="158"/>
        <item x="211"/>
        <item x="212"/>
        <item x="167"/>
        <item x="371"/>
        <item x="217"/>
        <item x="393"/>
        <item x="309"/>
        <item x="249"/>
        <item x="494"/>
        <item x="121"/>
        <item x="16"/>
        <item x="70"/>
        <item x="375"/>
        <item x="184"/>
        <item x="159"/>
        <item x="85"/>
        <item x="31"/>
        <item x="286"/>
        <item x="381"/>
        <item x="490"/>
        <item x="339"/>
        <item x="255"/>
        <item x="86"/>
        <item x="313"/>
        <item x="397"/>
        <item x="301"/>
        <item x="262"/>
        <item x="119"/>
        <item x="331"/>
        <item x="272"/>
        <item x="453"/>
        <item x="283"/>
        <item x="237"/>
        <item x="18"/>
        <item x="1"/>
        <item x="498"/>
        <item x="68"/>
        <item x="10"/>
        <item x="364"/>
        <item x="109"/>
        <item x="362"/>
        <item x="170"/>
        <item x="115"/>
        <item x="390"/>
        <item x="466"/>
        <item x="144"/>
        <item x="208"/>
        <item x="252"/>
        <item x="191"/>
        <item x="454"/>
        <item x="27"/>
        <item x="304"/>
        <item x="415"/>
        <item x="353"/>
        <item x="161"/>
        <item x="204"/>
        <item x="160"/>
        <item x="138"/>
        <item x="394"/>
        <item x="38"/>
        <item x="54"/>
        <item x="101"/>
        <item x="29"/>
        <item x="476"/>
        <item x="197"/>
        <item x="58"/>
        <item x="445"/>
        <item x="487"/>
        <item x="314"/>
        <item x="406"/>
        <item x="335"/>
        <item x="15"/>
        <item x="69"/>
        <item x="468"/>
        <item x="317"/>
        <item x="244"/>
        <item x="298"/>
        <item x="181"/>
        <item x="52"/>
        <item x="359"/>
        <item x="483"/>
        <item x="378"/>
        <item x="402"/>
        <item x="168"/>
        <item x="418"/>
        <item x="431"/>
        <item x="203"/>
        <item x="482"/>
        <item x="260"/>
        <item x="105"/>
        <item x="345"/>
        <item x="266"/>
        <item x="127"/>
        <item x="340"/>
        <item x="384"/>
        <item x="145"/>
        <item x="427"/>
        <item x="89"/>
        <item x="479"/>
        <item x="338"/>
        <item x="146"/>
        <item x="433"/>
        <item x="3"/>
        <item x="210"/>
        <item x="107"/>
        <item x="292"/>
        <item x="322"/>
        <item x="259"/>
        <item x="451"/>
        <item x="328"/>
        <item x="53"/>
        <item x="25"/>
        <item x="439"/>
        <item x="324"/>
        <item x="128"/>
        <item x="276"/>
        <item x="355"/>
        <item x="241"/>
        <item x="448"/>
        <item x="154"/>
        <item x="209"/>
        <item x="385"/>
        <item x="149"/>
        <item x="133"/>
        <item x="186"/>
        <item x="369"/>
        <item x="400"/>
        <item x="306"/>
        <item x="352"/>
        <item x="354"/>
        <item x="178"/>
        <item x="327"/>
        <item x="414"/>
        <item x="183"/>
        <item x="462"/>
        <item x="17"/>
        <item x="131"/>
        <item x="150"/>
        <item x="366"/>
        <item x="392"/>
        <item x="424"/>
        <item x="360"/>
        <item x="253"/>
        <item x="216"/>
        <item x="347"/>
        <item x="140"/>
        <item x="93"/>
        <item x="258"/>
        <item x="382"/>
        <item x="92"/>
        <item x="351"/>
        <item x="330"/>
        <item x="469"/>
        <item x="206"/>
        <item x="40"/>
        <item x="492"/>
        <item x="90"/>
        <item x="148"/>
        <item x="126"/>
        <item x="370"/>
        <item x="62"/>
        <item x="302"/>
        <item x="42"/>
        <item x="169"/>
        <item x="380"/>
        <item x="465"/>
        <item x="343"/>
        <item x="4"/>
        <item x="55"/>
        <item x="257"/>
        <item x="73"/>
        <item x="84"/>
        <item x="83"/>
        <item x="112"/>
        <item x="297"/>
        <item x="117"/>
        <item x="132"/>
        <item x="342"/>
        <item x="374"/>
        <item x="412"/>
        <item x="171"/>
        <item x="450"/>
        <item x="383"/>
        <item x="484"/>
        <item x="435"/>
        <item x="386"/>
        <item x="265"/>
        <item x="334"/>
        <item x="316"/>
        <item x="350"/>
        <item x="245"/>
        <item x="61"/>
        <item x="88"/>
        <item x="361"/>
        <item x="348"/>
        <item x="66"/>
        <item x="163"/>
        <item x="215"/>
        <item x="76"/>
        <item x="410"/>
        <item x="437"/>
        <item x="135"/>
        <item x="299"/>
        <item x="198"/>
        <item x="64"/>
        <item x="452"/>
        <item x="136"/>
        <item x="151"/>
        <item x="50"/>
        <item x="91"/>
        <item x="332"/>
        <item x="275"/>
        <item x="271"/>
        <item x="416"/>
        <item x="205"/>
        <item x="269"/>
        <item x="228"/>
        <item x="485"/>
        <item x="473"/>
        <item x="395"/>
        <item x="240"/>
        <item x="80"/>
        <item x="263"/>
        <item x="11"/>
        <item x="137"/>
        <item x="180"/>
        <item x="108"/>
        <item x="281"/>
        <item x="122"/>
        <item x="239"/>
        <item x="475"/>
        <item x="399"/>
        <item x="367"/>
        <item x="226"/>
        <item x="157"/>
        <item x="480"/>
        <item x="174"/>
        <item x="341"/>
        <item x="166"/>
        <item x="225"/>
        <item x="270"/>
        <item x="147"/>
        <item x="23"/>
        <item x="337"/>
        <item x="358"/>
        <item x="235"/>
        <item x="87"/>
        <item x="130"/>
        <item x="368"/>
        <item x="403"/>
        <item x="488"/>
        <item x="177"/>
        <item t="default"/>
      </items>
    </pivotField>
    <pivotField dataField="1" compact="0" showAll="0">
      <items count="501">
        <item x="315"/>
        <item x="294"/>
        <item x="472"/>
        <item x="474"/>
        <item x="319"/>
        <item x="446"/>
        <item x="123"/>
        <item x="152"/>
        <item x="162"/>
        <item x="57"/>
        <item x="201"/>
        <item x="33"/>
        <item x="67"/>
        <item x="95"/>
        <item x="280"/>
        <item x="346"/>
        <item x="111"/>
        <item x="79"/>
        <item x="24"/>
        <item x="153"/>
        <item x="411"/>
        <item x="56"/>
        <item x="478"/>
        <item x="143"/>
        <item x="100"/>
        <item x="296"/>
        <item x="434"/>
        <item x="425"/>
        <item x="471"/>
        <item x="41"/>
        <item x="196"/>
        <item x="74"/>
        <item x="312"/>
        <item x="349"/>
        <item x="467"/>
        <item x="224"/>
        <item x="97"/>
        <item x="104"/>
        <item x="44"/>
        <item x="118"/>
        <item x="432"/>
        <item x="14"/>
        <item x="113"/>
        <item x="320"/>
        <item x="387"/>
        <item x="285"/>
        <item x="243"/>
        <item x="398"/>
        <item x="7"/>
        <item x="19"/>
        <item x="106"/>
        <item x="176"/>
        <item x="300"/>
        <item x="199"/>
        <item x="2"/>
        <item x="365"/>
        <item x="124"/>
        <item x="200"/>
        <item x="470"/>
        <item x="456"/>
        <item x="98"/>
        <item x="405"/>
        <item x="357"/>
        <item x="407"/>
        <item x="187"/>
        <item x="36"/>
        <item x="426"/>
        <item x="182"/>
        <item x="460"/>
        <item x="5"/>
        <item x="195"/>
        <item x="344"/>
        <item x="372"/>
        <item x="221"/>
        <item x="63"/>
        <item x="30"/>
        <item x="114"/>
        <item x="231"/>
        <item x="282"/>
        <item x="267"/>
        <item x="293"/>
        <item x="173"/>
        <item x="455"/>
        <item x="464"/>
        <item x="222"/>
        <item x="440"/>
        <item x="214"/>
        <item x="202"/>
        <item x="48"/>
        <item x="207"/>
        <item x="227"/>
        <item x="250"/>
        <item x="242"/>
        <item x="22"/>
        <item x="373"/>
        <item x="310"/>
        <item x="295"/>
        <item x="164"/>
        <item x="12"/>
        <item x="223"/>
        <item x="404"/>
        <item x="388"/>
        <item x="192"/>
        <item x="129"/>
        <item x="35"/>
        <item x="429"/>
        <item x="179"/>
        <item x="442"/>
        <item x="78"/>
        <item x="99"/>
        <item x="37"/>
        <item x="60"/>
        <item x="336"/>
        <item x="251"/>
        <item x="81"/>
        <item x="486"/>
        <item x="234"/>
        <item x="457"/>
        <item x="193"/>
        <item x="47"/>
        <item x="289"/>
        <item x="213"/>
        <item x="413"/>
        <item x="103"/>
        <item x="39"/>
        <item x="26"/>
        <item x="261"/>
        <item x="71"/>
        <item x="28"/>
        <item x="94"/>
        <item x="325"/>
        <item x="291"/>
        <item x="391"/>
        <item x="284"/>
        <item x="461"/>
        <item x="236"/>
        <item x="308"/>
        <item x="254"/>
        <item x="430"/>
        <item x="356"/>
        <item x="21"/>
        <item x="497"/>
        <item x="230"/>
        <item x="232"/>
        <item x="96"/>
        <item x="185"/>
        <item x="274"/>
        <item x="376"/>
        <item x="290"/>
        <item x="248"/>
        <item x="34"/>
        <item x="441"/>
        <item x="421"/>
        <item x="156"/>
        <item x="155"/>
        <item x="401"/>
        <item x="363"/>
        <item x="458"/>
        <item x="45"/>
        <item x="20"/>
        <item x="218"/>
        <item x="428"/>
        <item x="444"/>
        <item x="420"/>
        <item x="321"/>
        <item x="423"/>
        <item x="13"/>
        <item x="229"/>
        <item x="495"/>
        <item x="75"/>
        <item x="396"/>
        <item x="277"/>
        <item x="247"/>
        <item x="491"/>
        <item x="333"/>
        <item x="389"/>
        <item x="419"/>
        <item x="141"/>
        <item x="329"/>
        <item x="139"/>
        <item x="49"/>
        <item x="417"/>
        <item x="188"/>
        <item x="377"/>
        <item x="165"/>
        <item x="6"/>
        <item x="496"/>
        <item x="305"/>
        <item x="463"/>
        <item x="409"/>
        <item x="279"/>
        <item x="72"/>
        <item x="422"/>
        <item x="318"/>
        <item x="494"/>
        <item x="219"/>
        <item x="125"/>
        <item x="303"/>
        <item x="65"/>
        <item x="246"/>
        <item x="116"/>
        <item x="273"/>
        <item x="211"/>
        <item x="436"/>
        <item x="288"/>
        <item x="110"/>
        <item x="256"/>
        <item x="375"/>
        <item x="120"/>
        <item x="311"/>
        <item x="286"/>
        <item x="499"/>
        <item x="194"/>
        <item x="86"/>
        <item x="175"/>
        <item x="68"/>
        <item x="16"/>
        <item x="238"/>
        <item x="212"/>
        <item x="283"/>
        <item x="172"/>
        <item x="408"/>
        <item x="287"/>
        <item x="102"/>
        <item x="459"/>
        <item x="278"/>
        <item x="220"/>
        <item x="167"/>
        <item x="46"/>
        <item x="43"/>
        <item x="144"/>
        <item x="1"/>
        <item x="268"/>
        <item x="204"/>
        <item x="0"/>
        <item x="379"/>
        <item x="233"/>
        <item x="438"/>
        <item x="381"/>
        <item x="69"/>
        <item x="449"/>
        <item x="59"/>
        <item x="10"/>
        <item x="32"/>
        <item x="415"/>
        <item x="362"/>
        <item x="489"/>
        <item x="313"/>
        <item x="477"/>
        <item x="443"/>
        <item x="487"/>
        <item x="493"/>
        <item x="323"/>
        <item x="326"/>
        <item x="77"/>
        <item x="203"/>
        <item x="397"/>
        <item x="197"/>
        <item x="378"/>
        <item x="58"/>
        <item x="8"/>
        <item x="3"/>
        <item x="433"/>
        <item x="264"/>
        <item x="9"/>
        <item x="481"/>
        <item x="331"/>
        <item x="445"/>
        <item x="189"/>
        <item x="142"/>
        <item x="145"/>
        <item x="262"/>
        <item x="317"/>
        <item x="82"/>
        <item x="146"/>
        <item x="301"/>
        <item x="272"/>
        <item x="217"/>
        <item x="371"/>
        <item x="298"/>
        <item x="168"/>
        <item x="447"/>
        <item x="27"/>
        <item x="184"/>
        <item x="208"/>
        <item x="209"/>
        <item x="406"/>
        <item x="439"/>
        <item x="400"/>
        <item x="359"/>
        <item x="309"/>
        <item x="109"/>
        <item x="237"/>
        <item x="170"/>
        <item x="304"/>
        <item x="15"/>
        <item x="479"/>
        <item x="190"/>
        <item x="134"/>
        <item x="307"/>
        <item x="424"/>
        <item x="133"/>
        <item x="70"/>
        <item x="364"/>
        <item x="138"/>
        <item x="327"/>
        <item x="340"/>
        <item x="385"/>
        <item x="324"/>
        <item x="306"/>
        <item x="360"/>
        <item x="392"/>
        <item x="51"/>
        <item x="252"/>
        <item x="462"/>
        <item x="345"/>
        <item x="355"/>
        <item x="490"/>
        <item x="343"/>
        <item x="322"/>
        <item x="54"/>
        <item x="31"/>
        <item x="89"/>
        <item x="255"/>
        <item x="253"/>
        <item x="468"/>
        <item x="161"/>
        <item x="498"/>
        <item x="115"/>
        <item x="418"/>
        <item x="258"/>
        <item x="105"/>
        <item x="402"/>
        <item x="454"/>
        <item x="249"/>
        <item x="244"/>
        <item x="158"/>
        <item x="386"/>
        <item x="53"/>
        <item x="171"/>
        <item x="121"/>
        <item x="483"/>
        <item x="393"/>
        <item x="466"/>
        <item x="85"/>
        <item x="299"/>
        <item x="160"/>
        <item x="257"/>
        <item x="339"/>
        <item x="159"/>
        <item x="149"/>
        <item x="370"/>
        <item x="260"/>
        <item x="181"/>
        <item x="101"/>
        <item x="448"/>
        <item x="131"/>
        <item x="4"/>
        <item x="276"/>
        <item x="451"/>
        <item x="347"/>
        <item x="366"/>
        <item x="427"/>
        <item x="335"/>
        <item x="453"/>
        <item x="328"/>
        <item x="119"/>
        <item x="126"/>
        <item x="352"/>
        <item x="136"/>
        <item x="205"/>
        <item x="18"/>
        <item x="354"/>
        <item x="191"/>
        <item x="151"/>
        <item x="127"/>
        <item x="475"/>
        <item x="353"/>
        <item x="302"/>
        <item x="38"/>
        <item x="384"/>
        <item x="332"/>
        <item x="52"/>
        <item x="476"/>
        <item x="55"/>
        <item x="314"/>
        <item x="380"/>
        <item x="29"/>
        <item x="157"/>
        <item x="241"/>
        <item x="83"/>
        <item x="107"/>
        <item x="292"/>
        <item x="390"/>
        <item x="154"/>
        <item x="84"/>
        <item x="394"/>
        <item x="61"/>
        <item x="183"/>
        <item x="410"/>
        <item x="216"/>
        <item x="480"/>
        <item x="431"/>
        <item x="488"/>
        <item x="263"/>
        <item x="50"/>
        <item x="150"/>
        <item x="239"/>
        <item x="186"/>
        <item x="240"/>
        <item x="465"/>
        <item x="259"/>
        <item x="281"/>
        <item x="225"/>
        <item x="482"/>
        <item x="25"/>
        <item x="87"/>
        <item x="132"/>
        <item x="369"/>
        <item x="245"/>
        <item x="469"/>
        <item x="62"/>
        <item x="128"/>
        <item x="266"/>
        <item x="368"/>
        <item x="135"/>
        <item x="412"/>
        <item x="275"/>
        <item x="473"/>
        <item x="210"/>
        <item x="92"/>
        <item x="338"/>
        <item x="382"/>
        <item x="452"/>
        <item x="163"/>
        <item x="330"/>
        <item x="198"/>
        <item x="350"/>
        <item x="484"/>
        <item x="450"/>
        <item x="414"/>
        <item x="206"/>
        <item x="140"/>
        <item x="269"/>
        <item x="492"/>
        <item x="235"/>
        <item x="73"/>
        <item x="316"/>
        <item x="437"/>
        <item x="91"/>
        <item x="117"/>
        <item x="215"/>
        <item x="147"/>
        <item x="90"/>
        <item x="348"/>
        <item x="178"/>
        <item x="112"/>
        <item x="17"/>
        <item x="93"/>
        <item x="76"/>
        <item x="130"/>
        <item x="383"/>
        <item x="228"/>
        <item x="358"/>
        <item x="64"/>
        <item x="435"/>
        <item x="42"/>
        <item x="40"/>
        <item x="403"/>
        <item x="334"/>
        <item x="416"/>
        <item x="88"/>
        <item x="148"/>
        <item x="374"/>
        <item x="297"/>
        <item x="351"/>
        <item x="169"/>
        <item x="180"/>
        <item x="342"/>
        <item x="66"/>
        <item x="485"/>
        <item x="395"/>
        <item x="265"/>
        <item x="108"/>
        <item x="361"/>
        <item x="271"/>
        <item x="399"/>
        <item x="23"/>
        <item x="174"/>
        <item x="226"/>
        <item x="270"/>
        <item x="80"/>
        <item x="367"/>
        <item x="122"/>
        <item x="137"/>
        <item x="11"/>
        <item x="341"/>
        <item x="337"/>
        <item x="166"/>
        <item x="177"/>
        <item t="default"/>
      </items>
    </pivotField>
    <pivotField compact="0" numFmtId="3" showAll="0">
      <items count="501">
        <item x="313"/>
        <item x="269"/>
        <item x="401"/>
        <item x="99"/>
        <item x="492"/>
        <item x="272"/>
        <item x="215"/>
        <item x="167"/>
        <item x="163"/>
        <item x="121"/>
        <item x="362"/>
        <item x="243"/>
        <item x="213"/>
        <item x="8"/>
        <item x="294"/>
        <item x="189"/>
        <item x="319"/>
        <item x="386"/>
        <item x="11"/>
        <item x="76"/>
        <item x="482"/>
        <item x="426"/>
        <item x="186"/>
        <item x="212"/>
        <item x="459"/>
        <item x="150"/>
        <item x="371"/>
        <item x="346"/>
        <item x="216"/>
        <item x="96"/>
        <item x="139"/>
        <item x="181"/>
        <item x="15"/>
        <item x="473"/>
        <item x="233"/>
        <item x="48"/>
        <item x="353"/>
        <item x="284"/>
        <item x="126"/>
        <item x="464"/>
        <item x="405"/>
        <item x="490"/>
        <item x="7"/>
        <item x="49"/>
        <item x="1"/>
        <item x="236"/>
        <item x="244"/>
        <item x="407"/>
        <item x="472"/>
        <item x="286"/>
        <item x="117"/>
        <item x="234"/>
        <item x="123"/>
        <item x="348"/>
        <item x="454"/>
        <item x="273"/>
        <item x="495"/>
        <item x="336"/>
        <item x="389"/>
        <item x="316"/>
        <item x="338"/>
        <item x="289"/>
        <item x="498"/>
        <item x="422"/>
        <item x="366"/>
        <item x="12"/>
        <item x="175"/>
        <item x="32"/>
        <item x="30"/>
        <item x="396"/>
        <item x="242"/>
        <item x="276"/>
        <item x="278"/>
        <item x="144"/>
        <item x="416"/>
        <item x="152"/>
        <item x="253"/>
        <item x="283"/>
        <item x="469"/>
        <item x="180"/>
        <item x="6"/>
        <item x="462"/>
        <item x="71"/>
        <item x="437"/>
        <item x="494"/>
        <item x="29"/>
        <item x="232"/>
        <item x="474"/>
        <item x="267"/>
        <item x="39"/>
        <item x="340"/>
        <item x="260"/>
        <item x="471"/>
        <item x="322"/>
        <item x="169"/>
        <item x="64"/>
        <item x="191"/>
        <item x="420"/>
        <item x="14"/>
        <item x="328"/>
        <item x="365"/>
        <item x="143"/>
        <item x="154"/>
        <item x="133"/>
        <item x="52"/>
        <item x="263"/>
        <item x="285"/>
        <item x="239"/>
        <item x="36"/>
        <item x="55"/>
        <item x="61"/>
        <item x="235"/>
        <item x="308"/>
        <item x="128"/>
        <item x="57"/>
        <item x="28"/>
        <item x="145"/>
        <item x="83"/>
        <item x="357"/>
        <item x="194"/>
        <item x="91"/>
        <item x="329"/>
        <item x="417"/>
        <item x="485"/>
        <item x="440"/>
        <item x="227"/>
        <item x="321"/>
        <item x="192"/>
        <item x="361"/>
        <item x="74"/>
        <item x="38"/>
        <item x="158"/>
        <item x="318"/>
        <item x="248"/>
        <item x="84"/>
        <item x="375"/>
        <item x="224"/>
        <item x="457"/>
        <item x="393"/>
        <item x="3"/>
        <item x="403"/>
        <item x="228"/>
        <item x="178"/>
        <item x="282"/>
        <item x="415"/>
        <item x="306"/>
        <item x="75"/>
        <item x="68"/>
        <item x="427"/>
        <item x="317"/>
        <item x="201"/>
        <item x="165"/>
        <item x="452"/>
        <item x="453"/>
        <item x="447"/>
        <item x="86"/>
        <item x="314"/>
        <item x="113"/>
        <item x="356"/>
        <item x="225"/>
        <item x="296"/>
        <item x="488"/>
        <item x="279"/>
        <item x="47"/>
        <item x="203"/>
        <item x="468"/>
        <item x="288"/>
        <item x="54"/>
        <item x="430"/>
        <item x="93"/>
        <item x="484"/>
        <item x="43"/>
        <item x="252"/>
        <item x="77"/>
        <item x="342"/>
        <item x="141"/>
        <item x="171"/>
        <item x="277"/>
        <item x="246"/>
        <item x="326"/>
        <item x="351"/>
        <item x="369"/>
        <item x="73"/>
        <item x="497"/>
        <item x="418"/>
        <item x="442"/>
        <item x="254"/>
        <item x="204"/>
        <item x="237"/>
        <item x="465"/>
        <item x="168"/>
        <item x="327"/>
        <item x="78"/>
        <item x="298"/>
        <item x="460"/>
        <item x="429"/>
        <item x="226"/>
        <item x="332"/>
        <item x="53"/>
        <item x="358"/>
        <item x="290"/>
        <item x="190"/>
        <item x="487"/>
        <item x="219"/>
        <item x="18"/>
        <item x="446"/>
        <item x="179"/>
        <item x="2"/>
        <item x="412"/>
        <item x="206"/>
        <item x="35"/>
        <item x="45"/>
        <item x="37"/>
        <item x="176"/>
        <item x="325"/>
        <item x="157"/>
        <item x="410"/>
        <item x="333"/>
        <item x="481"/>
        <item x="378"/>
        <item x="95"/>
        <item x="335"/>
        <item x="458"/>
        <item x="24"/>
        <item x="385"/>
        <item x="449"/>
        <item x="370"/>
        <item x="480"/>
        <item x="305"/>
        <item x="211"/>
        <item x="409"/>
        <item x="160"/>
        <item x="388"/>
        <item x="255"/>
        <item x="161"/>
        <item x="104"/>
        <item x="0"/>
        <item x="441"/>
        <item x="97"/>
        <item x="257"/>
        <item x="59"/>
        <item x="195"/>
        <item x="79"/>
        <item x="182"/>
        <item x="337"/>
        <item x="119"/>
        <item x="281"/>
        <item x="368"/>
        <item x="382"/>
        <item x="310"/>
        <item x="90"/>
        <item x="13"/>
        <item x="159"/>
        <item x="264"/>
        <item x="461"/>
        <item x="5"/>
        <item x="200"/>
        <item x="112"/>
        <item x="146"/>
        <item x="367"/>
        <item x="400"/>
        <item x="20"/>
        <item x="271"/>
        <item x="177"/>
        <item x="411"/>
        <item x="98"/>
        <item x="127"/>
        <item x="166"/>
        <item x="147"/>
        <item x="377"/>
        <item x="66"/>
        <item x="184"/>
        <item x="421"/>
        <item x="303"/>
        <item x="349"/>
        <item x="372"/>
        <item x="218"/>
        <item x="183"/>
        <item x="89"/>
        <item x="23"/>
        <item x="111"/>
        <item x="428"/>
        <item x="230"/>
        <item x="106"/>
        <item x="19"/>
        <item x="359"/>
        <item x="295"/>
        <item x="343"/>
        <item x="63"/>
        <item x="172"/>
        <item x="438"/>
        <item x="245"/>
        <item x="62"/>
        <item x="137"/>
        <item x="208"/>
        <item x="92"/>
        <item x="404"/>
        <item x="82"/>
        <item x="70"/>
        <item x="470"/>
        <item x="22"/>
        <item x="222"/>
        <item x="131"/>
        <item x="125"/>
        <item x="81"/>
        <item x="499"/>
        <item x="390"/>
        <item x="251"/>
        <item x="198"/>
        <item x="85"/>
        <item x="320"/>
        <item x="435"/>
        <item x="249"/>
        <item x="466"/>
        <item x="174"/>
        <item x="432"/>
        <item x="419"/>
        <item x="27"/>
        <item x="132"/>
        <item x="443"/>
        <item x="60"/>
        <item x="394"/>
        <item x="26"/>
        <item x="108"/>
        <item x="376"/>
        <item x="287"/>
        <item x="58"/>
        <item x="34"/>
        <item x="100"/>
        <item x="486"/>
        <item x="110"/>
        <item x="266"/>
        <item x="451"/>
        <item x="196"/>
        <item x="399"/>
        <item x="229"/>
        <item x="120"/>
        <item x="408"/>
        <item x="450"/>
        <item x="142"/>
        <item x="118"/>
        <item x="330"/>
        <item x="476"/>
        <item x="197"/>
        <item x="483"/>
        <item x="103"/>
        <item x="424"/>
        <item x="496"/>
        <item x="297"/>
        <item x="364"/>
        <item x="88"/>
        <item x="344"/>
        <item x="149"/>
        <item x="202"/>
        <item x="315"/>
        <item x="31"/>
        <item x="265"/>
        <item x="238"/>
        <item x="56"/>
        <item x="87"/>
        <item x="193"/>
        <item x="270"/>
        <item x="324"/>
        <item x="21"/>
        <item x="258"/>
        <item x="44"/>
        <item x="241"/>
        <item x="312"/>
        <item x="205"/>
        <item x="339"/>
        <item x="493"/>
        <item x="187"/>
        <item x="240"/>
        <item x="402"/>
        <item x="413"/>
        <item x="50"/>
        <item x="436"/>
        <item x="156"/>
        <item x="292"/>
        <item x="148"/>
        <item x="67"/>
        <item x="94"/>
        <item x="124"/>
        <item x="301"/>
        <item x="136"/>
        <item x="363"/>
        <item x="380"/>
        <item x="395"/>
        <item x="491"/>
        <item x="122"/>
        <item x="334"/>
        <item x="262"/>
        <item x="489"/>
        <item x="188"/>
        <item x="217"/>
        <item x="135"/>
        <item x="185"/>
        <item x="151"/>
        <item x="51"/>
        <item x="42"/>
        <item x="384"/>
        <item x="352"/>
        <item x="479"/>
        <item x="280"/>
        <item x="199"/>
        <item x="304"/>
        <item x="114"/>
        <item x="331"/>
        <item x="383"/>
        <item x="448"/>
        <item x="302"/>
        <item x="72"/>
        <item x="162"/>
        <item x="444"/>
        <item x="138"/>
        <item x="433"/>
        <item x="46"/>
        <item x="309"/>
        <item x="475"/>
        <item x="102"/>
        <item x="391"/>
        <item x="105"/>
        <item x="414"/>
        <item x="360"/>
        <item x="17"/>
        <item x="40"/>
        <item x="214"/>
        <item x="107"/>
        <item x="275"/>
        <item x="231"/>
        <item x="247"/>
        <item x="434"/>
        <item x="423"/>
        <item x="41"/>
        <item x="307"/>
        <item x="398"/>
        <item x="431"/>
        <item x="65"/>
        <item x="381"/>
        <item x="155"/>
        <item x="478"/>
        <item x="116"/>
        <item x="374"/>
        <item x="373"/>
        <item x="323"/>
        <item x="9"/>
        <item x="220"/>
        <item x="379"/>
        <item x="109"/>
        <item x="16"/>
        <item x="445"/>
        <item x="392"/>
        <item x="25"/>
        <item x="153"/>
        <item x="80"/>
        <item x="425"/>
        <item x="355"/>
        <item x="207"/>
        <item x="33"/>
        <item x="101"/>
        <item x="439"/>
        <item x="261"/>
        <item x="4"/>
        <item x="173"/>
        <item x="210"/>
        <item x="69"/>
        <item x="274"/>
        <item x="293"/>
        <item x="300"/>
        <item x="455"/>
        <item x="347"/>
        <item x="406"/>
        <item x="256"/>
        <item x="397"/>
        <item x="170"/>
        <item x="463"/>
        <item x="354"/>
        <item x="456"/>
        <item x="345"/>
        <item x="259"/>
        <item x="10"/>
        <item x="209"/>
        <item x="291"/>
        <item x="299"/>
        <item x="134"/>
        <item x="350"/>
        <item x="115"/>
        <item x="268"/>
        <item x="341"/>
        <item x="387"/>
        <item x="130"/>
        <item x="250"/>
        <item x="221"/>
        <item x="311"/>
        <item x="164"/>
        <item x="467"/>
        <item x="140"/>
        <item x="223"/>
        <item x="129"/>
        <item x="477"/>
        <item t="default"/>
      </items>
    </pivotField>
    <pivotField compact="0" numFmtId="3" showAll="0">
      <items count="483">
        <item x="346"/>
        <item x="407"/>
        <item x="281"/>
        <item x="444"/>
        <item x="345"/>
        <item x="315"/>
        <item x="284"/>
        <item x="338"/>
        <item x="335"/>
        <item x="266"/>
        <item x="464"/>
        <item x="1"/>
        <item x="168"/>
        <item x="188"/>
        <item x="300"/>
        <item x="12"/>
        <item x="243"/>
        <item x="187"/>
        <item x="280"/>
        <item x="174"/>
        <item x="269"/>
        <item x="116"/>
        <item x="278"/>
        <item x="404"/>
        <item x="38"/>
        <item x="125"/>
        <item x="83"/>
        <item x="306"/>
        <item x="90"/>
        <item x="328"/>
        <item x="217"/>
        <item x="438"/>
        <item x="180"/>
        <item x="157"/>
        <item x="417"/>
        <item x="70"/>
        <item x="223"/>
        <item x="225"/>
        <item x="6"/>
        <item x="194"/>
        <item x="15"/>
        <item x="375"/>
        <item x="199"/>
        <item x="252"/>
        <item x="144"/>
        <item x="387"/>
        <item x="88"/>
        <item x="356"/>
        <item x="43"/>
        <item x="385"/>
        <item x="46"/>
        <item x="179"/>
        <item x="98"/>
        <item x="357"/>
        <item x="398"/>
        <item x="109"/>
        <item x="20"/>
        <item x="160"/>
        <item x="222"/>
        <item x="218"/>
        <item x="195"/>
        <item x="476"/>
        <item x="227"/>
        <item x="334"/>
        <item x="214"/>
        <item x="142"/>
        <item x="478"/>
        <item x="446"/>
        <item x="226"/>
        <item x="390"/>
        <item x="201"/>
        <item x="24"/>
        <item x="156"/>
        <item x="86"/>
        <item x="307"/>
        <item x="84"/>
        <item x="313"/>
        <item x="138"/>
        <item x="205"/>
        <item x="124"/>
        <item x="383"/>
        <item x="21"/>
        <item x="136"/>
        <item x="213"/>
        <item x="185"/>
        <item x="312"/>
        <item x="240"/>
        <item x="35"/>
        <item x="449"/>
        <item x="122"/>
        <item x="162"/>
        <item x="198"/>
        <item x="190"/>
        <item x="113"/>
        <item x="60"/>
        <item x="426"/>
        <item x="326"/>
        <item x="351"/>
        <item x="63"/>
        <item x="259"/>
        <item x="282"/>
        <item x="447"/>
        <item x="49"/>
        <item x="427"/>
        <item x="166"/>
        <item x="366"/>
        <item x="74"/>
        <item x="92"/>
        <item x="360"/>
        <item x="106"/>
        <item x="413"/>
        <item x="75"/>
        <item x="409"/>
        <item x="112"/>
        <item x="104"/>
        <item x="352"/>
        <item x="149"/>
        <item x="145"/>
        <item x="425"/>
        <item x="87"/>
        <item x="14"/>
        <item x="289"/>
        <item x="394"/>
        <item x="339"/>
        <item x="361"/>
        <item x="353"/>
        <item x="8"/>
        <item x="120"/>
        <item x="340"/>
        <item x="11"/>
        <item x="260"/>
        <item x="76"/>
        <item x="256"/>
        <item x="53"/>
        <item x="228"/>
        <item x="241"/>
        <item x="466"/>
        <item x="321"/>
        <item x="211"/>
        <item x="412"/>
        <item x="28"/>
        <item x="203"/>
        <item x="433"/>
        <item x="389"/>
        <item x="54"/>
        <item x="403"/>
        <item x="318"/>
        <item x="457"/>
        <item x="432"/>
        <item x="30"/>
        <item x="453"/>
        <item x="58"/>
        <item x="237"/>
        <item x="100"/>
        <item x="182"/>
        <item x="164"/>
        <item x="192"/>
        <item x="238"/>
        <item x="264"/>
        <item x="108"/>
        <item x="64"/>
        <item x="210"/>
        <item x="277"/>
        <item x="468"/>
        <item x="103"/>
        <item x="52"/>
        <item x="292"/>
        <item x="50"/>
        <item x="209"/>
        <item x="119"/>
        <item x="55"/>
        <item x="290"/>
        <item x="141"/>
        <item x="458"/>
        <item x="242"/>
        <item x="415"/>
        <item x="320"/>
        <item x="465"/>
        <item x="72"/>
        <item x="107"/>
        <item x="153"/>
        <item x="235"/>
        <item x="301"/>
        <item x="254"/>
        <item x="184"/>
        <item x="17"/>
        <item x="143"/>
        <item x="250"/>
        <item x="414"/>
        <item x="93"/>
        <item x="460"/>
        <item x="469"/>
        <item x="274"/>
        <item x="95"/>
        <item x="376"/>
        <item x="448"/>
        <item x="479"/>
        <item x="324"/>
        <item x="396"/>
        <item x="73"/>
        <item x="39"/>
        <item x="384"/>
        <item x="7"/>
        <item x="248"/>
        <item x="461"/>
        <item x="135"/>
        <item x="365"/>
        <item x="31"/>
        <item x="29"/>
        <item x="231"/>
        <item x="303"/>
        <item x="257"/>
        <item x="380"/>
        <item x="474"/>
        <item x="196"/>
        <item x="78"/>
        <item x="48"/>
        <item x="272"/>
        <item x="26"/>
        <item x="392"/>
        <item x="456"/>
        <item x="97"/>
        <item x="177"/>
        <item x="310"/>
        <item x="47"/>
        <item x="69"/>
        <item x="146"/>
        <item x="13"/>
        <item x="51"/>
        <item x="158"/>
        <item x="59"/>
        <item x="234"/>
        <item x="251"/>
        <item x="167"/>
        <item x="56"/>
        <item x="319"/>
        <item x="455"/>
        <item x="480"/>
        <item x="232"/>
        <item x="379"/>
        <item x="110"/>
        <item x="57"/>
        <item x="151"/>
        <item x="439"/>
        <item x="327"/>
        <item x="399"/>
        <item x="279"/>
        <item x="442"/>
        <item x="336"/>
        <item x="132"/>
        <item x="249"/>
        <item x="370"/>
        <item x="330"/>
        <item x="189"/>
        <item x="295"/>
        <item x="161"/>
        <item x="350"/>
        <item x="42"/>
        <item x="220"/>
        <item x="424"/>
        <item x="230"/>
        <item x="175"/>
        <item x="267"/>
        <item x="118"/>
        <item x="171"/>
        <item x="347"/>
        <item x="82"/>
        <item x="405"/>
        <item x="286"/>
        <item x="239"/>
        <item x="322"/>
        <item x="467"/>
        <item x="332"/>
        <item x="475"/>
        <item x="421"/>
        <item x="27"/>
        <item x="348"/>
        <item x="37"/>
        <item x="288"/>
        <item x="129"/>
        <item x="61"/>
        <item x="193"/>
        <item x="451"/>
        <item x="462"/>
        <item x="245"/>
        <item x="3"/>
        <item x="202"/>
        <item x="233"/>
        <item x="170"/>
        <item x="207"/>
        <item x="163"/>
        <item x="127"/>
        <item x="212"/>
        <item x="428"/>
        <item x="378"/>
        <item x="358"/>
        <item x="67"/>
        <item x="349"/>
        <item x="165"/>
        <item x="419"/>
        <item x="81"/>
        <item x="200"/>
        <item x="18"/>
        <item x="105"/>
        <item x="329"/>
        <item x="121"/>
        <item x="246"/>
        <item x="372"/>
        <item x="299"/>
        <item x="393"/>
        <item x="96"/>
        <item x="94"/>
        <item x="80"/>
        <item x="85"/>
        <item x="206"/>
        <item x="178"/>
        <item x="343"/>
        <item x="452"/>
        <item x="445"/>
        <item x="443"/>
        <item x="273"/>
        <item x="296"/>
        <item x="402"/>
        <item x="440"/>
        <item x="261"/>
        <item x="155"/>
        <item x="253"/>
        <item x="262"/>
        <item x="311"/>
        <item x="68"/>
        <item x="283"/>
        <item x="134"/>
        <item x="435"/>
        <item x="244"/>
        <item x="66"/>
        <item x="101"/>
        <item x="298"/>
        <item x="271"/>
        <item x="472"/>
        <item x="333"/>
        <item x="355"/>
        <item x="258"/>
        <item x="77"/>
        <item x="44"/>
        <item x="140"/>
        <item x="354"/>
        <item x="471"/>
        <item x="275"/>
        <item x="181"/>
        <item x="22"/>
        <item x="34"/>
        <item x="102"/>
        <item x="422"/>
        <item x="99"/>
        <item x="454"/>
        <item x="23"/>
        <item x="204"/>
        <item x="216"/>
        <item x="176"/>
        <item x="371"/>
        <item x="291"/>
        <item x="45"/>
        <item x="308"/>
        <item x="293"/>
        <item x="183"/>
        <item x="450"/>
        <item x="325"/>
        <item x="341"/>
        <item x="367"/>
        <item x="285"/>
        <item x="401"/>
        <item x="19"/>
        <item x="368"/>
        <item x="152"/>
        <item x="436"/>
        <item x="263"/>
        <item x="224"/>
        <item x="5"/>
        <item x="36"/>
        <item x="294"/>
        <item x="397"/>
        <item x="9"/>
        <item x="172"/>
        <item x="416"/>
        <item x="373"/>
        <item x="400"/>
        <item x="186"/>
        <item x="418"/>
        <item x="481"/>
        <item x="359"/>
        <item x="130"/>
        <item x="137"/>
        <item x="2"/>
        <item x="0"/>
        <item x="410"/>
        <item x="268"/>
        <item x="111"/>
        <item x="62"/>
        <item x="430"/>
        <item x="437"/>
        <item x="470"/>
        <item x="388"/>
        <item x="126"/>
        <item x="208"/>
        <item x="159"/>
        <item x="391"/>
        <item x="374"/>
        <item x="363"/>
        <item x="115"/>
        <item x="215"/>
        <item x="117"/>
        <item x="41"/>
        <item x="65"/>
        <item x="265"/>
        <item x="139"/>
        <item x="323"/>
        <item x="473"/>
        <item x="302"/>
        <item x="89"/>
        <item x="91"/>
        <item x="331"/>
        <item x="309"/>
        <item x="406"/>
        <item x="255"/>
        <item x="236"/>
        <item x="317"/>
        <item x="314"/>
        <item x="362"/>
        <item x="411"/>
        <item x="71"/>
        <item x="344"/>
        <item x="408"/>
        <item x="377"/>
        <item x="191"/>
        <item x="173"/>
        <item x="150"/>
        <item x="33"/>
        <item x="128"/>
        <item x="369"/>
        <item x="270"/>
        <item x="287"/>
        <item x="123"/>
        <item x="429"/>
        <item x="364"/>
        <item x="131"/>
        <item x="423"/>
        <item x="276"/>
        <item x="147"/>
        <item x="477"/>
        <item x="304"/>
        <item x="148"/>
        <item x="382"/>
        <item x="25"/>
        <item x="297"/>
        <item x="459"/>
        <item x="197"/>
        <item x="154"/>
        <item x="229"/>
        <item x="395"/>
        <item x="219"/>
        <item x="32"/>
        <item x="420"/>
        <item x="337"/>
        <item x="221"/>
        <item x="434"/>
        <item x="247"/>
        <item x="316"/>
        <item x="463"/>
        <item x="305"/>
        <item x="342"/>
        <item x="381"/>
        <item x="386"/>
        <item x="79"/>
        <item x="114"/>
        <item x="4"/>
        <item x="441"/>
        <item x="40"/>
        <item x="133"/>
        <item x="16"/>
        <item x="169"/>
        <item x="431"/>
        <item x="10"/>
        <item t="default"/>
      </items>
    </pivotField>
    <pivotField compact="0" numFmtId="3" showAll="0">
      <items count="352">
        <item x="48"/>
        <item x="311"/>
        <item x="231"/>
        <item x="134"/>
        <item x="13"/>
        <item x="189"/>
        <item x="138"/>
        <item x="120"/>
        <item x="275"/>
        <item x="254"/>
        <item x="276"/>
        <item x="9"/>
        <item x="14"/>
        <item x="37"/>
        <item x="1"/>
        <item x="24"/>
        <item x="81"/>
        <item x="338"/>
        <item x="88"/>
        <item x="35"/>
        <item x="262"/>
        <item x="285"/>
        <item x="67"/>
        <item x="113"/>
        <item x="333"/>
        <item x="145"/>
        <item x="252"/>
        <item x="147"/>
        <item x="85"/>
        <item x="22"/>
        <item x="122"/>
        <item x="186"/>
        <item x="43"/>
        <item x="330"/>
        <item x="156"/>
        <item x="327"/>
        <item x="219"/>
        <item x="142"/>
        <item x="278"/>
        <item x="305"/>
        <item x="173"/>
        <item x="221"/>
        <item x="248"/>
        <item x="126"/>
        <item x="168"/>
        <item x="232"/>
        <item x="137"/>
        <item x="202"/>
        <item x="118"/>
        <item x="79"/>
        <item x="205"/>
        <item x="199"/>
        <item x="19"/>
        <item x="273"/>
        <item x="132"/>
        <item x="150"/>
        <item x="230"/>
        <item x="12"/>
        <item x="347"/>
        <item x="242"/>
        <item x="52"/>
        <item x="233"/>
        <item x="176"/>
        <item x="78"/>
        <item x="334"/>
        <item x="267"/>
        <item x="42"/>
        <item x="329"/>
        <item x="110"/>
        <item x="15"/>
        <item x="11"/>
        <item x="91"/>
        <item x="310"/>
        <item x="131"/>
        <item x="128"/>
        <item x="127"/>
        <item x="256"/>
        <item x="100"/>
        <item x="72"/>
        <item x="188"/>
        <item x="349"/>
        <item x="161"/>
        <item x="159"/>
        <item x="106"/>
        <item x="160"/>
        <item x="66"/>
        <item x="255"/>
        <item x="178"/>
        <item x="171"/>
        <item x="158"/>
        <item x="59"/>
        <item x="235"/>
        <item x="195"/>
        <item x="213"/>
        <item x="172"/>
        <item x="250"/>
        <item x="83"/>
        <item x="269"/>
        <item x="332"/>
        <item x="146"/>
        <item x="264"/>
        <item x="40"/>
        <item x="182"/>
        <item x="153"/>
        <item x="107"/>
        <item x="209"/>
        <item x="117"/>
        <item x="281"/>
        <item x="229"/>
        <item x="237"/>
        <item x="36"/>
        <item x="51"/>
        <item x="27"/>
        <item x="191"/>
        <item x="325"/>
        <item x="238"/>
        <item x="30"/>
        <item x="206"/>
        <item x="62"/>
        <item x="104"/>
        <item x="157"/>
        <item x="39"/>
        <item x="190"/>
        <item x="6"/>
        <item x="197"/>
        <item x="277"/>
        <item x="125"/>
        <item x="82"/>
        <item x="139"/>
        <item x="187"/>
        <item x="177"/>
        <item x="63"/>
        <item x="115"/>
        <item x="46"/>
        <item x="284"/>
        <item x="50"/>
        <item x="23"/>
        <item x="93"/>
        <item x="164"/>
        <item x="298"/>
        <item x="116"/>
        <item x="184"/>
        <item x="143"/>
        <item x="74"/>
        <item x="111"/>
        <item x="92"/>
        <item x="253"/>
        <item x="20"/>
        <item x="318"/>
        <item x="306"/>
        <item x="295"/>
        <item x="7"/>
        <item x="223"/>
        <item x="179"/>
        <item x="96"/>
        <item x="45"/>
        <item x="239"/>
        <item x="154"/>
        <item x="345"/>
        <item x="224"/>
        <item x="323"/>
        <item x="21"/>
        <item x="350"/>
        <item x="249"/>
        <item x="53"/>
        <item x="192"/>
        <item x="69"/>
        <item x="8"/>
        <item x="57"/>
        <item x="71"/>
        <item x="301"/>
        <item x="49"/>
        <item x="29"/>
        <item x="3"/>
        <item x="226"/>
        <item x="344"/>
        <item x="245"/>
        <item x="101"/>
        <item x="98"/>
        <item x="17"/>
        <item x="194"/>
        <item x="270"/>
        <item x="307"/>
        <item x="263"/>
        <item x="167"/>
        <item x="200"/>
        <item x="251"/>
        <item x="217"/>
        <item x="151"/>
        <item x="165"/>
        <item x="319"/>
        <item x="317"/>
        <item x="212"/>
        <item x="87"/>
        <item x="265"/>
        <item x="240"/>
        <item x="271"/>
        <item x="214"/>
        <item x="119"/>
        <item x="257"/>
        <item x="103"/>
        <item x="56"/>
        <item x="339"/>
        <item x="31"/>
        <item x="216"/>
        <item x="326"/>
        <item x="55"/>
        <item x="102"/>
        <item x="207"/>
        <item x="236"/>
        <item x="175"/>
        <item x="316"/>
        <item x="208"/>
        <item x="54"/>
        <item x="86"/>
        <item x="287"/>
        <item x="259"/>
        <item x="109"/>
        <item x="341"/>
        <item x="80"/>
        <item x="163"/>
        <item x="4"/>
        <item x="90"/>
        <item x="211"/>
        <item x="193"/>
        <item x="346"/>
        <item x="170"/>
        <item x="304"/>
        <item x="288"/>
        <item x="76"/>
        <item x="174"/>
        <item x="32"/>
        <item x="258"/>
        <item x="135"/>
        <item x="312"/>
        <item x="44"/>
        <item x="293"/>
        <item x="290"/>
        <item x="291"/>
        <item x="99"/>
        <item x="246"/>
        <item x="260"/>
        <item x="114"/>
        <item x="70"/>
        <item x="201"/>
        <item x="26"/>
        <item x="234"/>
        <item x="348"/>
        <item x="47"/>
        <item x="343"/>
        <item x="183"/>
        <item x="28"/>
        <item x="112"/>
        <item x="204"/>
        <item x="300"/>
        <item x="272"/>
        <item x="58"/>
        <item x="133"/>
        <item x="121"/>
        <item x="141"/>
        <item x="198"/>
        <item x="321"/>
        <item x="97"/>
        <item x="225"/>
        <item x="335"/>
        <item x="222"/>
        <item x="95"/>
        <item x="299"/>
        <item x="60"/>
        <item x="38"/>
        <item x="296"/>
        <item x="279"/>
        <item x="140"/>
        <item x="289"/>
        <item x="144"/>
        <item x="18"/>
        <item x="340"/>
        <item x="308"/>
        <item x="261"/>
        <item x="149"/>
        <item x="283"/>
        <item x="322"/>
        <item x="162"/>
        <item x="215"/>
        <item x="94"/>
        <item x="68"/>
        <item x="266"/>
        <item x="64"/>
        <item x="247"/>
        <item x="77"/>
        <item x="336"/>
        <item x="210"/>
        <item x="324"/>
        <item x="130"/>
        <item x="342"/>
        <item x="227"/>
        <item x="108"/>
        <item x="89"/>
        <item x="169"/>
        <item x="294"/>
        <item x="309"/>
        <item x="65"/>
        <item x="84"/>
        <item x="274"/>
        <item x="268"/>
        <item x="34"/>
        <item x="73"/>
        <item x="241"/>
        <item x="10"/>
        <item x="218"/>
        <item x="320"/>
        <item x="185"/>
        <item x="155"/>
        <item x="75"/>
        <item x="5"/>
        <item x="181"/>
        <item x="302"/>
        <item x="286"/>
        <item x="152"/>
        <item x="124"/>
        <item x="196"/>
        <item x="203"/>
        <item x="314"/>
        <item x="61"/>
        <item x="297"/>
        <item x="220"/>
        <item x="105"/>
        <item x="180"/>
        <item x="292"/>
        <item x="2"/>
        <item x="244"/>
        <item x="337"/>
        <item x="313"/>
        <item x="0"/>
        <item x="280"/>
        <item x="328"/>
        <item x="123"/>
        <item x="166"/>
        <item x="303"/>
        <item x="129"/>
        <item x="148"/>
        <item x="315"/>
        <item x="243"/>
        <item x="228"/>
        <item x="331"/>
        <item x="282"/>
        <item x="41"/>
        <item x="16"/>
        <item x="25"/>
        <item x="33"/>
        <item x="136"/>
        <item t="default"/>
      </items>
    </pivotField>
    <pivotField dataField="1" compact="0" showAll="0">
      <items count="501">
        <item x="135"/>
        <item x="49"/>
        <item x="9"/>
        <item x="229"/>
        <item x="96"/>
        <item x="125"/>
        <item x="253"/>
        <item x="331"/>
        <item x="1"/>
        <item x="394"/>
        <item x="14"/>
        <item x="190"/>
        <item x="242"/>
        <item x="69"/>
        <item x="13"/>
        <item x="22"/>
        <item x="321"/>
        <item x="360"/>
        <item x="418"/>
        <item x="153"/>
        <item x="430"/>
        <item x="183"/>
        <item x="361"/>
        <item x="366"/>
        <item x="416"/>
        <item x="283"/>
        <item x="272"/>
        <item x="156"/>
        <item x="179"/>
        <item x="93"/>
        <item x="270"/>
        <item x="269"/>
        <item x="144"/>
        <item x="476"/>
        <item x="437"/>
        <item x="312"/>
        <item x="87"/>
        <item x="420"/>
        <item x="188"/>
        <item x="436"/>
        <item x="157"/>
        <item x="291"/>
        <item x="336"/>
        <item x="284"/>
        <item x="318"/>
        <item x="94"/>
        <item x="24"/>
        <item x="42"/>
        <item x="224"/>
        <item x="448"/>
        <item x="37"/>
        <item x="91"/>
        <item x="286"/>
        <item x="303"/>
        <item x="463"/>
        <item x="35"/>
        <item x="376"/>
        <item x="257"/>
        <item x="497"/>
        <item x="110"/>
        <item x="185"/>
        <item x="349"/>
        <item x="396"/>
        <item x="166"/>
        <item x="409"/>
        <item x="450"/>
        <item x="54"/>
        <item x="99"/>
        <item x="220"/>
        <item x="169"/>
        <item x="208"/>
        <item x="84"/>
        <item x="481"/>
        <item x="71"/>
        <item x="466"/>
        <item x="19"/>
        <item x="122"/>
        <item x="139"/>
        <item x="246"/>
        <item x="168"/>
        <item x="460"/>
        <item x="146"/>
        <item x="212"/>
        <item x="458"/>
        <item x="374"/>
        <item x="296"/>
        <item x="68"/>
        <item x="417"/>
        <item x="354"/>
        <item x="180"/>
        <item x="165"/>
        <item x="325"/>
        <item x="452"/>
        <item x="415"/>
        <item x="342"/>
        <item x="478"/>
        <item x="444"/>
        <item x="310"/>
        <item x="351"/>
        <item x="151"/>
        <item x="455"/>
        <item x="287"/>
        <item x="282"/>
        <item x="44"/>
        <item x="206"/>
        <item x="480"/>
        <item x="249"/>
        <item x="27"/>
        <item x="161"/>
        <item x="203"/>
        <item x="147"/>
        <item x="85"/>
        <item x="462"/>
        <item x="494"/>
        <item x="132"/>
        <item x="150"/>
        <item x="273"/>
        <item x="117"/>
        <item x="240"/>
        <item x="260"/>
        <item x="333"/>
        <item x="15"/>
        <item x="53"/>
        <item x="12"/>
        <item x="187"/>
        <item x="189"/>
        <item x="232"/>
        <item x="158"/>
        <item x="400"/>
        <item x="196"/>
        <item x="243"/>
        <item x="123"/>
        <item x="89"/>
        <item x="77"/>
        <item x="43"/>
        <item x="126"/>
        <item x="175"/>
        <item x="492"/>
        <item x="192"/>
        <item x="52"/>
        <item x="289"/>
        <item x="40"/>
        <item x="227"/>
        <item x="314"/>
        <item x="228"/>
        <item x="365"/>
        <item x="344"/>
        <item x="237"/>
        <item x="446"/>
        <item x="370"/>
        <item x="429"/>
        <item x="116"/>
        <item x="36"/>
        <item x="301"/>
        <item x="194"/>
        <item x="216"/>
        <item x="172"/>
        <item x="364"/>
        <item x="128"/>
        <item x="182"/>
        <item x="226"/>
        <item x="353"/>
        <item x="214"/>
        <item x="414"/>
        <item x="207"/>
        <item x="233"/>
        <item x="356"/>
        <item x="322"/>
        <item x="359"/>
        <item x="11"/>
        <item x="261"/>
        <item x="234"/>
        <item x="343"/>
        <item x="426"/>
        <item x="23"/>
        <item x="79"/>
        <item x="281"/>
        <item x="464"/>
        <item x="222"/>
        <item x="64"/>
        <item x="338"/>
        <item x="145"/>
        <item x="181"/>
        <item x="111"/>
        <item x="51"/>
        <item x="346"/>
        <item x="305"/>
        <item x="186"/>
        <item x="469"/>
        <item x="184"/>
        <item x="358"/>
        <item x="114"/>
        <item x="410"/>
        <item x="215"/>
        <item x="316"/>
        <item x="213"/>
        <item x="290"/>
        <item x="61"/>
        <item x="47"/>
        <item x="59"/>
        <item x="459"/>
        <item x="285"/>
        <item x="219"/>
        <item x="323"/>
        <item x="80"/>
        <item x="50"/>
        <item x="439"/>
        <item x="295"/>
        <item x="55"/>
        <item x="371"/>
        <item x="324"/>
        <item x="262"/>
        <item x="427"/>
        <item x="225"/>
        <item x="389"/>
        <item x="276"/>
        <item x="461"/>
        <item x="347"/>
        <item x="393"/>
        <item x="197"/>
        <item x="8"/>
        <item x="428"/>
        <item x="292"/>
        <item x="441"/>
        <item x="254"/>
        <item x="130"/>
        <item x="375"/>
        <item x="201"/>
        <item x="39"/>
        <item x="337"/>
        <item x="320"/>
        <item x="275"/>
        <item x="484"/>
        <item x="293"/>
        <item x="7"/>
        <item x="202"/>
        <item x="200"/>
        <item x="482"/>
        <item x="231"/>
        <item x="385"/>
        <item x="6"/>
        <item x="167"/>
        <item x="369"/>
        <item x="327"/>
        <item x="363"/>
        <item x="348"/>
        <item x="297"/>
        <item x="335"/>
        <item x="496"/>
        <item x="209"/>
        <item x="32"/>
        <item x="308"/>
        <item x="404"/>
        <item x="473"/>
        <item x="30"/>
        <item x="255"/>
        <item x="449"/>
        <item x="133"/>
        <item x="355"/>
        <item x="294"/>
        <item x="100"/>
        <item x="339"/>
        <item x="195"/>
        <item x="251"/>
        <item x="137"/>
        <item x="105"/>
        <item x="131"/>
        <item x="75"/>
        <item x="88"/>
        <item x="143"/>
        <item x="57"/>
        <item x="163"/>
        <item x="453"/>
        <item x="298"/>
        <item x="387"/>
        <item x="411"/>
        <item x="4"/>
        <item x="244"/>
        <item x="107"/>
        <item x="21"/>
        <item x="29"/>
        <item x="315"/>
        <item x="134"/>
        <item x="328"/>
        <item x="173"/>
        <item x="313"/>
        <item x="124"/>
        <item x="129"/>
        <item x="258"/>
        <item x="457"/>
        <item x="73"/>
        <item x="152"/>
        <item x="319"/>
        <item x="493"/>
        <item x="65"/>
        <item x="334"/>
        <item x="422"/>
        <item x="205"/>
        <item x="288"/>
        <item x="488"/>
        <item x="403"/>
        <item x="108"/>
        <item x="495"/>
        <item x="20"/>
        <item x="221"/>
        <item x="399"/>
        <item x="70"/>
        <item x="121"/>
        <item x="104"/>
        <item x="300"/>
        <item x="109"/>
        <item x="103"/>
        <item x="176"/>
        <item x="113"/>
        <item x="171"/>
        <item x="309"/>
        <item x="390"/>
        <item x="101"/>
        <item x="211"/>
        <item x="264"/>
        <item x="95"/>
        <item x="431"/>
        <item x="112"/>
        <item x="499"/>
        <item x="267"/>
        <item x="31"/>
        <item x="398"/>
        <item x="74"/>
        <item x="326"/>
        <item x="142"/>
        <item x="401"/>
        <item x="490"/>
        <item x="440"/>
        <item x="76"/>
        <item x="18"/>
        <item x="277"/>
        <item x="263"/>
        <item x="432"/>
        <item x="230"/>
        <item x="405"/>
        <item x="239"/>
        <item x="46"/>
        <item x="259"/>
        <item x="198"/>
        <item x="395"/>
        <item x="265"/>
        <item x="489"/>
        <item x="118"/>
        <item x="236"/>
        <item x="434"/>
        <item x="479"/>
        <item x="306"/>
        <item x="477"/>
        <item x="149"/>
        <item x="120"/>
        <item x="138"/>
        <item x="278"/>
        <item x="58"/>
        <item x="357"/>
        <item x="256"/>
        <item x="136"/>
        <item x="465"/>
        <item x="472"/>
        <item x="162"/>
        <item x="17"/>
        <item x="210"/>
        <item x="86"/>
        <item x="3"/>
        <item x="178"/>
        <item x="56"/>
        <item x="408"/>
        <item x="447"/>
        <item x="266"/>
        <item x="92"/>
        <item x="304"/>
        <item x="248"/>
        <item x="317"/>
        <item x="332"/>
        <item x="491"/>
        <item x="419"/>
        <item x="10"/>
        <item x="340"/>
        <item x="470"/>
        <item x="330"/>
        <item x="468"/>
        <item x="350"/>
        <item x="299"/>
        <item x="485"/>
        <item x="380"/>
        <item x="98"/>
        <item x="352"/>
        <item x="119"/>
        <item x="252"/>
        <item x="160"/>
        <item x="378"/>
        <item x="311"/>
        <item x="235"/>
        <item x="45"/>
        <item x="48"/>
        <item x="474"/>
        <item x="425"/>
        <item x="362"/>
        <item x="379"/>
        <item x="487"/>
        <item x="106"/>
        <item x="115"/>
        <item x="386"/>
        <item x="164"/>
        <item x="274"/>
        <item x="383"/>
        <item x="83"/>
        <item x="382"/>
        <item x="329"/>
        <item x="28"/>
        <item x="62"/>
        <item x="407"/>
        <item x="159"/>
        <item x="97"/>
        <item x="245"/>
        <item x="391"/>
        <item x="82"/>
        <item x="127"/>
        <item x="486"/>
        <item x="154"/>
        <item x="341"/>
        <item x="78"/>
        <item x="26"/>
        <item x="438"/>
        <item x="397"/>
        <item x="377"/>
        <item x="421"/>
        <item x="199"/>
        <item x="498"/>
        <item x="483"/>
        <item x="402"/>
        <item x="218"/>
        <item x="191"/>
        <item x="435"/>
        <item x="140"/>
        <item x="241"/>
        <item x="60"/>
        <item x="72"/>
        <item x="443"/>
        <item x="66"/>
        <item x="38"/>
        <item x="454"/>
        <item x="279"/>
        <item x="442"/>
        <item x="467"/>
        <item x="102"/>
        <item x="381"/>
        <item x="367"/>
        <item x="471"/>
        <item x="177"/>
        <item x="5"/>
        <item x="412"/>
        <item x="373"/>
        <item x="280"/>
        <item x="247"/>
        <item x="193"/>
        <item x="141"/>
        <item x="413"/>
        <item x="302"/>
        <item x="25"/>
        <item x="388"/>
        <item x="345"/>
        <item x="204"/>
        <item x="368"/>
        <item x="271"/>
        <item x="250"/>
        <item x="90"/>
        <item x="372"/>
        <item x="67"/>
        <item x="34"/>
        <item x="384"/>
        <item x="2"/>
        <item x="223"/>
        <item x="268"/>
        <item x="433"/>
        <item x="424"/>
        <item x="174"/>
        <item x="392"/>
        <item x="238"/>
        <item x="81"/>
        <item x="217"/>
        <item x="423"/>
        <item x="63"/>
        <item x="445"/>
        <item x="0"/>
        <item x="41"/>
        <item x="307"/>
        <item x="451"/>
        <item x="475"/>
        <item x="406"/>
        <item x="170"/>
        <item x="148"/>
        <item x="33"/>
        <item x="456"/>
        <item x="16"/>
        <item x="155"/>
        <item t="default"/>
      </items>
    </pivotField>
    <pivotField compact="0" showAll="0">
      <items count="501">
        <item x="354"/>
        <item x="188"/>
        <item x="398"/>
        <item x="312"/>
        <item x="220"/>
        <item x="343"/>
        <item x="44"/>
        <item x="196"/>
        <item x="310"/>
        <item x="207"/>
        <item x="480"/>
        <item x="305"/>
        <item x="110"/>
        <item x="197"/>
        <item x="229"/>
        <item x="89"/>
        <item x="87"/>
        <item x="246"/>
        <item x="360"/>
        <item x="347"/>
        <item x="439"/>
        <item x="114"/>
        <item x="21"/>
        <item x="219"/>
        <item x="259"/>
        <item x="107"/>
        <item x="334"/>
        <item x="20"/>
        <item x="255"/>
        <item x="105"/>
        <item x="262"/>
        <item x="385"/>
        <item x="85"/>
        <item x="425"/>
        <item x="409"/>
        <item x="50"/>
        <item x="161"/>
        <item x="125"/>
        <item x="461"/>
        <item x="430"/>
        <item x="101"/>
        <item x="137"/>
        <item x="109"/>
        <item x="282"/>
        <item x="414"/>
        <item x="452"/>
        <item x="287"/>
        <item x="225"/>
        <item x="65"/>
        <item x="88"/>
        <item x="420"/>
        <item x="376"/>
        <item x="24"/>
        <item x="157"/>
        <item x="463"/>
        <item x="84"/>
        <item x="477"/>
        <item x="47"/>
        <item x="205"/>
        <item x="201"/>
        <item x="322"/>
        <item x="51"/>
        <item x="200"/>
        <item x="342"/>
        <item x="17"/>
        <item x="158"/>
        <item x="169"/>
        <item x="91"/>
        <item x="240"/>
        <item x="31"/>
        <item x="285"/>
        <item x="40"/>
        <item x="185"/>
        <item x="227"/>
        <item x="289"/>
        <item x="286"/>
        <item x="331"/>
        <item x="203"/>
        <item x="56"/>
        <item x="146"/>
        <item x="297"/>
        <item x="94"/>
        <item x="12"/>
        <item x="39"/>
        <item x="441"/>
        <item x="230"/>
        <item x="120"/>
        <item x="142"/>
        <item x="224"/>
        <item x="175"/>
        <item x="145"/>
        <item x="416"/>
        <item x="370"/>
        <item x="228"/>
        <item x="1"/>
        <item x="136"/>
        <item x="353"/>
        <item x="300"/>
        <item x="108"/>
        <item x="476"/>
        <item x="400"/>
        <item x="321"/>
        <item x="183"/>
        <item x="496"/>
        <item x="71"/>
        <item x="358"/>
        <item x="117"/>
        <item x="365"/>
        <item x="291"/>
        <item x="417"/>
        <item x="6"/>
        <item x="295"/>
        <item x="245"/>
        <item x="336"/>
        <item x="130"/>
        <item x="355"/>
        <item x="284"/>
        <item x="428"/>
        <item x="459"/>
        <item x="346"/>
        <item x="394"/>
        <item x="293"/>
        <item x="393"/>
        <item x="93"/>
        <item x="59"/>
        <item x="162"/>
        <item x="209"/>
        <item x="164"/>
        <item x="281"/>
        <item x="180"/>
        <item x="126"/>
        <item x="251"/>
        <item x="143"/>
        <item x="434"/>
        <item x="325"/>
        <item x="380"/>
        <item x="478"/>
        <item x="396"/>
        <item x="318"/>
        <item x="26"/>
        <item x="104"/>
        <item x="113"/>
        <item x="446"/>
        <item x="390"/>
        <item x="189"/>
        <item x="198"/>
        <item x="366"/>
        <item x="211"/>
        <item x="395"/>
        <item x="75"/>
        <item x="77"/>
        <item x="60"/>
        <item x="333"/>
        <item x="54"/>
        <item x="344"/>
        <item x="257"/>
        <item x="181"/>
        <item x="491"/>
        <item x="58"/>
        <item x="214"/>
        <item x="70"/>
        <item x="269"/>
        <item x="192"/>
        <item x="53"/>
        <item x="270"/>
        <item x="481"/>
        <item x="241"/>
        <item x="440"/>
        <item x="272"/>
        <item x="455"/>
        <item x="15"/>
        <item x="256"/>
        <item x="36"/>
        <item x="327"/>
        <item x="69"/>
        <item x="467"/>
        <item x="98"/>
        <item x="341"/>
        <item x="147"/>
        <item x="447"/>
        <item x="495"/>
        <item x="61"/>
        <item x="237"/>
        <item x="484"/>
        <item x="111"/>
        <item x="483"/>
        <item x="361"/>
        <item x="79"/>
        <item x="73"/>
        <item x="273"/>
        <item x="304"/>
        <item x="261"/>
        <item x="369"/>
        <item x="13"/>
        <item x="159"/>
        <item x="222"/>
        <item x="122"/>
        <item x="247"/>
        <item x="165"/>
        <item x="438"/>
        <item x="359"/>
        <item x="172"/>
        <item x="275"/>
        <item x="64"/>
        <item x="102"/>
        <item x="466"/>
        <item x="202"/>
        <item x="299"/>
        <item x="381"/>
        <item x="216"/>
        <item x="135"/>
        <item x="301"/>
        <item x="153"/>
        <item x="62"/>
        <item x="497"/>
        <item x="173"/>
        <item x="462"/>
        <item x="156"/>
        <item x="413"/>
        <item x="14"/>
        <item x="46"/>
        <item x="306"/>
        <item x="67"/>
        <item x="123"/>
        <item x="9"/>
        <item x="99"/>
        <item x="427"/>
        <item x="432"/>
        <item x="119"/>
        <item x="335"/>
        <item x="263"/>
        <item x="363"/>
        <item x="410"/>
        <item x="265"/>
        <item x="168"/>
        <item x="254"/>
        <item x="55"/>
        <item x="249"/>
        <item x="464"/>
        <item x="194"/>
        <item x="242"/>
        <item x="492"/>
        <item x="82"/>
        <item x="139"/>
        <item x="431"/>
        <item x="328"/>
        <item x="422"/>
        <item x="326"/>
        <item x="437"/>
        <item x="453"/>
        <item x="190"/>
        <item x="404"/>
        <item x="176"/>
        <item x="383"/>
        <item x="364"/>
        <item x="106"/>
        <item x="81"/>
        <item x="140"/>
        <item x="195"/>
        <item x="239"/>
        <item x="210"/>
        <item x="268"/>
        <item x="138"/>
        <item x="29"/>
        <item x="423"/>
        <item x="166"/>
        <item x="367"/>
        <item x="208"/>
        <item x="319"/>
        <item x="103"/>
        <item x="485"/>
        <item x="373"/>
        <item x="116"/>
        <item x="401"/>
        <item x="186"/>
        <item x="74"/>
        <item x="494"/>
        <item x="375"/>
        <item x="252"/>
        <item x="100"/>
        <item x="403"/>
        <item x="444"/>
        <item x="267"/>
        <item x="387"/>
        <item x="469"/>
        <item x="418"/>
        <item x="178"/>
        <item x="348"/>
        <item x="337"/>
        <item x="382"/>
        <item x="43"/>
        <item x="405"/>
        <item x="388"/>
        <item x="187"/>
        <item x="243"/>
        <item x="435"/>
        <item x="415"/>
        <item x="215"/>
        <item x="307"/>
        <item x="313"/>
        <item x="154"/>
        <item x="450"/>
        <item x="22"/>
        <item x="129"/>
        <item x="474"/>
        <item x="266"/>
        <item x="244"/>
        <item x="264"/>
        <item x="97"/>
        <item x="470"/>
        <item x="384"/>
        <item x="408"/>
        <item x="163"/>
        <item x="204"/>
        <item x="303"/>
        <item x="42"/>
        <item x="217"/>
        <item x="23"/>
        <item x="18"/>
        <item x="218"/>
        <item x="274"/>
        <item x="442"/>
        <item x="489"/>
        <item x="308"/>
        <item x="95"/>
        <item x="171"/>
        <item x="426"/>
        <item x="457"/>
        <item x="19"/>
        <item x="402"/>
        <item x="379"/>
        <item x="150"/>
        <item x="76"/>
        <item x="72"/>
        <item x="349"/>
        <item x="184"/>
        <item x="356"/>
        <item x="253"/>
        <item x="458"/>
        <item x="177"/>
        <item x="144"/>
        <item x="352"/>
        <item x="377"/>
        <item x="179"/>
        <item x="371"/>
        <item x="167"/>
        <item x="499"/>
        <item x="27"/>
        <item x="182"/>
        <item x="399"/>
        <item x="449"/>
        <item x="451"/>
        <item x="131"/>
        <item x="339"/>
        <item x="278"/>
        <item x="486"/>
        <item x="374"/>
        <item x="57"/>
        <item x="460"/>
        <item x="294"/>
        <item x="260"/>
        <item x="473"/>
        <item x="258"/>
        <item x="221"/>
        <item x="324"/>
        <item x="392"/>
        <item x="315"/>
        <item x="8"/>
        <item x="52"/>
        <item x="118"/>
        <item x="238"/>
        <item x="11"/>
        <item x="362"/>
        <item x="5"/>
        <item x="151"/>
        <item x="223"/>
        <item x="406"/>
        <item x="330"/>
        <item x="351"/>
        <item x="121"/>
        <item x="25"/>
        <item x="191"/>
        <item x="45"/>
        <item x="482"/>
        <item x="345"/>
        <item x="411"/>
        <item x="277"/>
        <item x="309"/>
        <item x="63"/>
        <item x="250"/>
        <item x="32"/>
        <item x="3"/>
        <item x="35"/>
        <item x="30"/>
        <item x="487"/>
        <item x="33"/>
        <item x="424"/>
        <item x="68"/>
        <item x="193"/>
        <item x="78"/>
        <item x="280"/>
        <item x="206"/>
        <item x="407"/>
        <item x="213"/>
        <item x="155"/>
        <item x="468"/>
        <item x="471"/>
        <item x="276"/>
        <item x="368"/>
        <item x="38"/>
        <item x="419"/>
        <item x="311"/>
        <item x="231"/>
        <item x="124"/>
        <item x="329"/>
        <item x="292"/>
        <item x="475"/>
        <item x="83"/>
        <item x="248"/>
        <item x="133"/>
        <item x="412"/>
        <item x="271"/>
        <item x="350"/>
        <item x="298"/>
        <item x="112"/>
        <item x="378"/>
        <item x="288"/>
        <item x="332"/>
        <item x="302"/>
        <item x="86"/>
        <item x="290"/>
        <item x="212"/>
        <item x="7"/>
        <item x="92"/>
        <item x="323"/>
        <item x="465"/>
        <item x="148"/>
        <item x="436"/>
        <item x="316"/>
        <item x="199"/>
        <item x="320"/>
        <item x="115"/>
        <item x="397"/>
        <item x="37"/>
        <item x="28"/>
        <item x="127"/>
        <item x="141"/>
        <item x="433"/>
        <item x="152"/>
        <item x="456"/>
        <item x="493"/>
        <item x="66"/>
        <item x="226"/>
        <item x="490"/>
        <item x="0"/>
        <item x="80"/>
        <item x="472"/>
        <item x="283"/>
        <item x="174"/>
        <item x="49"/>
        <item x="4"/>
        <item x="498"/>
        <item x="448"/>
        <item x="488"/>
        <item x="34"/>
        <item x="134"/>
        <item x="429"/>
        <item x="389"/>
        <item x="317"/>
        <item x="96"/>
        <item x="232"/>
        <item x="279"/>
        <item x="2"/>
        <item x="170"/>
        <item x="235"/>
        <item x="372"/>
        <item x="233"/>
        <item x="149"/>
        <item x="236"/>
        <item x="90"/>
        <item x="357"/>
        <item x="340"/>
        <item x="128"/>
        <item x="296"/>
        <item x="234"/>
        <item x="443"/>
        <item x="454"/>
        <item x="479"/>
        <item x="16"/>
        <item x="391"/>
        <item x="314"/>
        <item x="338"/>
        <item x="421"/>
        <item x="160"/>
        <item x="41"/>
        <item x="132"/>
        <item x="445"/>
        <item x="48"/>
        <item x="386"/>
        <item x="10"/>
        <item t="default"/>
      </items>
    </pivotField>
    <pivotField compact="0" showAll="0">
      <items count="501">
        <item x="41"/>
        <item x="33"/>
        <item x="456"/>
        <item x="315"/>
        <item x="280"/>
        <item x="199"/>
        <item x="221"/>
        <item x="250"/>
        <item x="231"/>
        <item x="124"/>
        <item x="223"/>
        <item x="387"/>
        <item x="391"/>
        <item x="320"/>
        <item x="118"/>
        <item x="411"/>
        <item x="372"/>
        <item x="153"/>
        <item x="10"/>
        <item x="129"/>
        <item x="16"/>
        <item x="155"/>
        <item x="296"/>
        <item x="311"/>
        <item x="2"/>
        <item x="67"/>
        <item x="100"/>
        <item x="193"/>
        <item x="349"/>
        <item x="63"/>
        <item x="445"/>
        <item x="373"/>
        <item x="274"/>
        <item x="187"/>
        <item x="19"/>
        <item x="95"/>
        <item x="34"/>
        <item x="467"/>
        <item x="170"/>
        <item x="397"/>
        <item x="5"/>
        <item x="134"/>
        <item x="173"/>
        <item x="323"/>
        <item x="421"/>
        <item x="470"/>
        <item x="436"/>
        <item x="486"/>
        <item x="182"/>
        <item x="433"/>
        <item x="97"/>
        <item x="479"/>
        <item x="115"/>
        <item x="72"/>
        <item x="429"/>
        <item x="419"/>
        <item x="162"/>
        <item x="478"/>
        <item x="432"/>
        <item x="4"/>
        <item x="406"/>
        <item x="37"/>
        <item x="493"/>
        <item x="106"/>
        <item x="460"/>
        <item x="22"/>
        <item x="434"/>
        <item x="444"/>
        <item x="443"/>
        <item x="379"/>
        <item x="345"/>
        <item x="152"/>
        <item x="472"/>
        <item x="455"/>
        <item x="423"/>
        <item x="35"/>
        <item x="309"/>
        <item x="357"/>
        <item x="57"/>
        <item x="116"/>
        <item x="392"/>
        <item x="238"/>
        <item x="448"/>
        <item x="78"/>
        <item x="103"/>
        <item x="111"/>
        <item x="261"/>
        <item x="202"/>
        <item x="290"/>
        <item x="268"/>
        <item x="149"/>
        <item x="214"/>
        <item x="471"/>
        <item x="489"/>
        <item x="350"/>
        <item x="475"/>
        <item x="404"/>
        <item x="179"/>
        <item x="176"/>
        <item x="195"/>
        <item x="302"/>
        <item x="413"/>
        <item x="218"/>
        <item x="81"/>
        <item x="300"/>
        <item x="79"/>
        <item x="293"/>
        <item x="363"/>
        <item x="499"/>
        <item x="45"/>
        <item x="424"/>
        <item x="164"/>
        <item x="377"/>
        <item x="388"/>
        <item x="474"/>
        <item x="0"/>
        <item x="25"/>
        <item x="217"/>
        <item x="442"/>
        <item x="307"/>
        <item x="156"/>
        <item x="141"/>
        <item x="324"/>
        <item x="408"/>
        <item x="292"/>
        <item x="279"/>
        <item x="458"/>
        <item x="151"/>
        <item x="344"/>
        <item x="247"/>
        <item x="222"/>
        <item x="132"/>
        <item x="258"/>
        <item x="277"/>
        <item x="27"/>
        <item x="352"/>
        <item x="446"/>
        <item x="74"/>
        <item x="80"/>
        <item x="303"/>
        <item x="98"/>
        <item x="339"/>
        <item x="294"/>
        <item x="402"/>
        <item x="9"/>
        <item x="7"/>
        <item x="288"/>
        <item x="46"/>
        <item x="378"/>
        <item x="381"/>
        <item x="28"/>
        <item x="160"/>
        <item x="56"/>
        <item x="256"/>
        <item x="138"/>
        <item x="102"/>
        <item x="148"/>
        <item x="248"/>
        <item x="374"/>
        <item x="356"/>
        <item x="291"/>
        <item x="48"/>
        <item x="127"/>
        <item x="451"/>
        <item x="487"/>
        <item x="30"/>
        <item x="384"/>
        <item x="457"/>
        <item x="86"/>
        <item x="449"/>
        <item x="407"/>
        <item x="298"/>
        <item x="69"/>
        <item x="184"/>
        <item x="104"/>
        <item x="92"/>
        <item x="234"/>
        <item x="232"/>
        <item x="131"/>
        <item x="425"/>
        <item x="330"/>
        <item x="299"/>
        <item x="491"/>
        <item x="60"/>
        <item x="317"/>
        <item x="68"/>
        <item x="210"/>
        <item x="329"/>
        <item x="264"/>
        <item x="140"/>
        <item x="90"/>
        <item x="364"/>
        <item x="301"/>
        <item x="236"/>
        <item x="431"/>
        <item x="26"/>
        <item x="254"/>
        <item x="42"/>
        <item x="174"/>
        <item x="208"/>
        <item x="123"/>
        <item x="251"/>
        <item x="368"/>
        <item x="204"/>
        <item x="66"/>
        <item x="82"/>
        <item x="332"/>
        <item x="267"/>
        <item x="112"/>
        <item x="304"/>
        <item x="389"/>
        <item x="314"/>
        <item x="308"/>
        <item x="13"/>
        <item x="14"/>
        <item x="319"/>
        <item x="497"/>
        <item x="266"/>
        <item x="468"/>
        <item x="172"/>
        <item x="465"/>
        <item x="295"/>
        <item x="3"/>
        <item x="113"/>
        <item x="412"/>
        <item x="209"/>
        <item x="94"/>
        <item x="450"/>
        <item x="399"/>
        <item x="383"/>
        <item x="488"/>
        <item x="249"/>
        <item x="405"/>
        <item x="438"/>
        <item x="43"/>
        <item x="283"/>
        <item x="49"/>
        <item x="96"/>
        <item x="271"/>
        <item x="206"/>
        <item x="185"/>
        <item x="275"/>
        <item x="426"/>
        <item x="135"/>
        <item x="18"/>
        <item x="171"/>
        <item x="435"/>
        <item x="340"/>
        <item x="496"/>
        <item x="24"/>
        <item x="463"/>
        <item x="415"/>
        <item x="359"/>
        <item x="200"/>
        <item x="243"/>
        <item x="375"/>
        <item x="428"/>
        <item x="466"/>
        <item x="58"/>
        <item x="326"/>
        <item x="355"/>
        <item x="213"/>
        <item x="242"/>
        <item x="325"/>
        <item x="190"/>
        <item x="226"/>
        <item x="418"/>
        <item x="483"/>
        <item x="133"/>
        <item x="114"/>
        <item x="382"/>
        <item x="36"/>
        <item x="143"/>
        <item x="440"/>
        <item x="233"/>
        <item x="168"/>
        <item x="252"/>
        <item x="333"/>
        <item x="23"/>
        <item x="38"/>
        <item x="32"/>
        <item x="128"/>
        <item x="230"/>
        <item x="464"/>
        <item x="477"/>
        <item x="351"/>
        <item x="201"/>
        <item x="119"/>
        <item x="278"/>
        <item x="165"/>
        <item x="265"/>
        <item x="241"/>
        <item x="454"/>
        <item x="83"/>
        <item x="211"/>
        <item x="70"/>
        <item x="224"/>
        <item x="65"/>
        <item x="62"/>
        <item x="498"/>
        <item x="120"/>
        <item x="177"/>
        <item x="192"/>
        <item x="144"/>
        <item x="341"/>
        <item x="494"/>
        <item x="235"/>
        <item x="331"/>
        <item x="335"/>
        <item x="380"/>
        <item x="207"/>
        <item x="212"/>
        <item x="194"/>
        <item x="490"/>
        <item x="159"/>
        <item x="196"/>
        <item x="44"/>
        <item x="376"/>
        <item x="410"/>
        <item x="130"/>
        <item x="441"/>
        <item x="481"/>
        <item x="398"/>
        <item x="122"/>
        <item x="191"/>
        <item x="338"/>
        <item x="75"/>
        <item x="276"/>
        <item x="52"/>
        <item x="59"/>
        <item x="142"/>
        <item x="260"/>
        <item x="237"/>
        <item x="365"/>
        <item x="367"/>
        <item x="337"/>
        <item x="453"/>
        <item x="422"/>
        <item x="312"/>
        <item x="166"/>
        <item x="306"/>
        <item x="386"/>
        <item x="136"/>
        <item x="327"/>
        <item x="253"/>
        <item x="390"/>
        <item x="21"/>
        <item x="395"/>
        <item x="109"/>
        <item x="346"/>
        <item x="51"/>
        <item x="257"/>
        <item x="394"/>
        <item x="77"/>
        <item x="447"/>
        <item x="427"/>
        <item x="362"/>
        <item x="400"/>
        <item x="285"/>
        <item x="316"/>
        <item x="476"/>
        <item x="147"/>
        <item x="198"/>
        <item x="53"/>
        <item x="270"/>
        <item x="178"/>
        <item x="461"/>
        <item x="8"/>
        <item x="167"/>
        <item x="287"/>
        <item x="31"/>
        <item x="318"/>
        <item x="227"/>
        <item x="154"/>
        <item x="401"/>
        <item x="139"/>
        <item x="403"/>
        <item x="99"/>
        <item x="371"/>
        <item x="146"/>
        <item x="125"/>
        <item x="47"/>
        <item x="101"/>
        <item x="439"/>
        <item x="369"/>
        <item x="54"/>
        <item x="495"/>
        <item x="282"/>
        <item x="244"/>
        <item x="245"/>
        <item x="321"/>
        <item x="262"/>
        <item x="183"/>
        <item x="229"/>
        <item x="281"/>
        <item x="40"/>
        <item x="20"/>
        <item x="205"/>
        <item x="240"/>
        <item x="328"/>
        <item x="239"/>
        <item x="73"/>
        <item x="273"/>
        <item x="121"/>
        <item x="417"/>
        <item x="55"/>
        <item x="17"/>
        <item x="29"/>
        <item x="105"/>
        <item x="336"/>
        <item x="71"/>
        <item x="485"/>
        <item x="469"/>
        <item x="484"/>
        <item x="462"/>
        <item x="347"/>
        <item x="396"/>
        <item x="360"/>
        <item x="473"/>
        <item x="313"/>
        <item x="482"/>
        <item x="310"/>
        <item x="409"/>
        <item x="259"/>
        <item x="263"/>
        <item x="12"/>
        <item x="39"/>
        <item x="370"/>
        <item x="430"/>
        <item x="297"/>
        <item x="414"/>
        <item x="108"/>
        <item x="110"/>
        <item x="203"/>
        <item x="150"/>
        <item x="107"/>
        <item x="6"/>
        <item x="220"/>
        <item x="284"/>
        <item x="437"/>
        <item x="289"/>
        <item x="50"/>
        <item x="348"/>
        <item x="393"/>
        <item x="197"/>
        <item x="61"/>
        <item x="219"/>
        <item x="85"/>
        <item x="88"/>
        <item x="76"/>
        <item x="93"/>
        <item x="358"/>
        <item x="186"/>
        <item x="188"/>
        <item x="145"/>
        <item x="163"/>
        <item x="305"/>
        <item x="64"/>
        <item x="11"/>
        <item x="334"/>
        <item x="361"/>
        <item x="246"/>
        <item x="161"/>
        <item x="420"/>
        <item x="157"/>
        <item x="175"/>
        <item x="87"/>
        <item x="15"/>
        <item x="215"/>
        <item x="385"/>
        <item x="89"/>
        <item x="255"/>
        <item x="216"/>
        <item x="366"/>
        <item x="286"/>
        <item x="1"/>
        <item x="272"/>
        <item x="459"/>
        <item x="158"/>
        <item x="228"/>
        <item x="189"/>
        <item x="492"/>
        <item x="181"/>
        <item x="137"/>
        <item x="126"/>
        <item x="225"/>
        <item x="342"/>
        <item x="84"/>
        <item x="343"/>
        <item x="322"/>
        <item x="180"/>
        <item x="452"/>
        <item x="91"/>
        <item x="480"/>
        <item x="353"/>
        <item x="117"/>
        <item x="354"/>
        <item x="416"/>
        <item x="269"/>
        <item x="169"/>
        <item t="default"/>
      </items>
    </pivotField>
    <pivotField compact="0" showAll="0">
      <items count="501">
        <item x="33"/>
        <item x="41"/>
        <item x="280"/>
        <item x="456"/>
        <item x="372"/>
        <item x="199"/>
        <item x="155"/>
        <item x="2"/>
        <item x="67"/>
        <item x="63"/>
        <item x="16"/>
        <item x="5"/>
        <item x="421"/>
        <item x="250"/>
        <item x="97"/>
        <item x="118"/>
        <item x="357"/>
        <item x="467"/>
        <item x="223"/>
        <item x="471"/>
        <item x="152"/>
        <item x="81"/>
        <item x="78"/>
        <item x="423"/>
        <item x="25"/>
        <item x="472"/>
        <item x="0"/>
        <item x="470"/>
        <item x="218"/>
        <item x="247"/>
        <item x="170"/>
        <item x="388"/>
        <item x="445"/>
        <item x="406"/>
        <item x="424"/>
        <item x="141"/>
        <item x="377"/>
        <item x="413"/>
        <item x="34"/>
        <item x="486"/>
        <item x="106"/>
        <item x="442"/>
        <item x="373"/>
        <item x="238"/>
        <item x="307"/>
        <item x="74"/>
        <item x="302"/>
        <item x="217"/>
        <item x="164"/>
        <item x="300"/>
        <item x="193"/>
        <item x="474"/>
        <item x="124"/>
        <item x="451"/>
        <item x="115"/>
        <item x="221"/>
        <item x="268"/>
        <item x="57"/>
        <item x="392"/>
        <item x="475"/>
        <item x="279"/>
        <item x="10"/>
        <item x="391"/>
        <item x="103"/>
        <item x="433"/>
        <item x="56"/>
        <item x="384"/>
        <item x="48"/>
        <item x="368"/>
        <item x="140"/>
        <item x="425"/>
        <item x="72"/>
        <item x="256"/>
        <item x="95"/>
        <item x="148"/>
        <item x="60"/>
        <item x="274"/>
        <item x="407"/>
        <item x="402"/>
        <item x="311"/>
        <item x="204"/>
        <item x="98"/>
        <item x="162"/>
        <item x="28"/>
        <item x="345"/>
        <item x="434"/>
        <item x="113"/>
        <item x="102"/>
        <item x="195"/>
        <item x="111"/>
        <item x="411"/>
        <item x="26"/>
        <item x="277"/>
        <item x="299"/>
        <item x="248"/>
        <item x="432"/>
        <item x="438"/>
        <item x="264"/>
        <item x="381"/>
        <item x="443"/>
        <item x="319"/>
        <item x="123"/>
        <item x="271"/>
        <item x="200"/>
        <item x="405"/>
        <item x="397"/>
        <item x="45"/>
        <item x="149"/>
        <item x="315"/>
        <item x="329"/>
        <item x="173"/>
        <item x="267"/>
        <item x="288"/>
        <item x="320"/>
        <item x="454"/>
        <item x="419"/>
        <item x="79"/>
        <item x="408"/>
        <item x="294"/>
        <item x="379"/>
        <item x="100"/>
        <item x="498"/>
        <item x="171"/>
        <item x="83"/>
        <item x="174"/>
        <item x="483"/>
        <item x="104"/>
        <item x="90"/>
        <item x="201"/>
        <item x="230"/>
        <item x="254"/>
        <item x="491"/>
        <item x="159"/>
        <item x="176"/>
        <item x="120"/>
        <item x="487"/>
        <item x="7"/>
        <item x="18"/>
        <item x="493"/>
        <item x="446"/>
        <item x="398"/>
        <item x="138"/>
        <item x="38"/>
        <item x="143"/>
        <item x="440"/>
        <item x="449"/>
        <item x="177"/>
        <item x="160"/>
        <item x="32"/>
        <item x="457"/>
        <item x="412"/>
        <item x="330"/>
        <item x="86"/>
        <item x="326"/>
        <item x="344"/>
        <item x="387"/>
        <item x="428"/>
        <item x="236"/>
        <item x="62"/>
        <item x="187"/>
        <item x="211"/>
        <item x="309"/>
        <item x="465"/>
        <item x="196"/>
        <item x="109"/>
        <item x="214"/>
        <item x="66"/>
        <item x="308"/>
        <item x="142"/>
        <item x="241"/>
        <item x="136"/>
        <item x="82"/>
        <item x="295"/>
        <item x="352"/>
        <item x="234"/>
        <item x="222"/>
        <item x="395"/>
        <item x="304"/>
        <item x="365"/>
        <item x="191"/>
        <item x="496"/>
        <item x="119"/>
        <item x="401"/>
        <item x="346"/>
        <item x="362"/>
        <item x="339"/>
        <item x="285"/>
        <item x="378"/>
        <item x="429"/>
        <item x="386"/>
        <item x="431"/>
        <item x="21"/>
        <item x="75"/>
        <item x="341"/>
        <item x="202"/>
        <item x="477"/>
        <item x="127"/>
        <item x="435"/>
        <item x="58"/>
        <item x="231"/>
        <item x="355"/>
        <item x="495"/>
        <item x="129"/>
        <item x="114"/>
        <item x="447"/>
        <item x="422"/>
        <item x="245"/>
        <item x="258"/>
        <item x="367"/>
        <item x="327"/>
        <item x="30"/>
        <item x="36"/>
        <item x="47"/>
        <item x="464"/>
        <item x="154"/>
        <item x="461"/>
        <item x="380"/>
        <item x="205"/>
        <item x="298"/>
        <item x="252"/>
        <item x="441"/>
        <item x="213"/>
        <item x="121"/>
        <item x="4"/>
        <item x="105"/>
        <item x="20"/>
        <item x="134"/>
        <item x="278"/>
        <item x="293"/>
        <item x="382"/>
        <item x="31"/>
        <item x="468"/>
        <item x="324"/>
        <item x="479"/>
        <item x="317"/>
        <item x="439"/>
        <item x="404"/>
        <item x="389"/>
        <item x="489"/>
        <item x="210"/>
        <item x="399"/>
        <item x="340"/>
        <item x="453"/>
        <item x="427"/>
        <item x="499"/>
        <item x="3"/>
        <item x="59"/>
        <item x="383"/>
        <item x="251"/>
        <item x="233"/>
        <item x="209"/>
        <item x="39"/>
        <item x="313"/>
        <item x="292"/>
        <item x="8"/>
        <item x="182"/>
        <item x="46"/>
        <item x="107"/>
        <item x="349"/>
        <item x="244"/>
        <item x="356"/>
        <item x="235"/>
        <item x="207"/>
        <item x="478"/>
        <item x="484"/>
        <item x="92"/>
        <item x="426"/>
        <item x="70"/>
        <item x="266"/>
        <item x="485"/>
        <item x="273"/>
        <item x="375"/>
        <item x="65"/>
        <item x="363"/>
        <item x="263"/>
        <item x="306"/>
        <item x="232"/>
        <item x="259"/>
        <item x="6"/>
        <item x="369"/>
        <item x="332"/>
        <item x="112"/>
        <item x="350"/>
        <item x="390"/>
        <item x="490"/>
        <item x="197"/>
        <item x="239"/>
        <item x="325"/>
        <item x="198"/>
        <item x="29"/>
        <item x="400"/>
        <item x="403"/>
        <item x="265"/>
        <item x="50"/>
        <item x="276"/>
        <item x="192"/>
        <item x="55"/>
        <item x="178"/>
        <item x="290"/>
        <item x="348"/>
        <item x="219"/>
        <item x="17"/>
        <item x="51"/>
        <item x="227"/>
        <item x="337"/>
        <item x="393"/>
        <item x="262"/>
        <item x="243"/>
        <item x="43"/>
        <item x="175"/>
        <item x="19"/>
        <item x="328"/>
        <item x="165"/>
        <item x="216"/>
        <item x="101"/>
        <item x="364"/>
        <item x="73"/>
        <item x="76"/>
        <item x="410"/>
        <item x="99"/>
        <item x="108"/>
        <item x="158"/>
        <item x="167"/>
        <item x="459"/>
        <item x="282"/>
        <item x="415"/>
        <item x="27"/>
        <item x="275"/>
        <item x="417"/>
        <item x="312"/>
        <item x="185"/>
        <item x="126"/>
        <item x="116"/>
        <item x="371"/>
        <item x="338"/>
        <item x="473"/>
        <item x="163"/>
        <item x="12"/>
        <item x="494"/>
        <item x="68"/>
        <item x="261"/>
        <item x="296"/>
        <item x="370"/>
        <item x="297"/>
        <item x="497"/>
        <item x="488"/>
        <item x="181"/>
        <item x="225"/>
        <item x="133"/>
        <item x="71"/>
        <item x="314"/>
        <item x="334"/>
        <item x="396"/>
        <item x="130"/>
        <item x="240"/>
        <item x="255"/>
        <item x="110"/>
        <item x="194"/>
        <item x="333"/>
        <item x="237"/>
        <item x="44"/>
        <item x="52"/>
        <item x="131"/>
        <item x="189"/>
        <item x="305"/>
        <item x="385"/>
        <item x="224"/>
        <item x="347"/>
        <item x="289"/>
        <item x="89"/>
        <item x="146"/>
        <item x="463"/>
        <item x="128"/>
        <item x="335"/>
        <item x="88"/>
        <item x="281"/>
        <item x="23"/>
        <item x="77"/>
        <item x="137"/>
        <item x="323"/>
        <item x="260"/>
        <item x="343"/>
        <item x="322"/>
        <item x="358"/>
        <item x="64"/>
        <item x="291"/>
        <item x="455"/>
        <item x="145"/>
        <item x="212"/>
        <item x="336"/>
        <item x="458"/>
        <item x="184"/>
        <item x="284"/>
        <item x="287"/>
        <item x="61"/>
        <item x="156"/>
        <item x="117"/>
        <item x="24"/>
        <item x="481"/>
        <item x="179"/>
        <item x="172"/>
        <item x="482"/>
        <item x="40"/>
        <item x="15"/>
        <item x="436"/>
        <item x="316"/>
        <item x="22"/>
        <item x="310"/>
        <item x="186"/>
        <item x="460"/>
        <item x="54"/>
        <item x="246"/>
        <item x="206"/>
        <item x="301"/>
        <item x="359"/>
        <item x="303"/>
        <item x="466"/>
        <item x="215"/>
        <item x="14"/>
        <item x="409"/>
        <item x="150"/>
        <item x="469"/>
        <item x="53"/>
        <item x="242"/>
        <item x="144"/>
        <item x="84"/>
        <item x="228"/>
        <item x="444"/>
        <item x="420"/>
        <item x="414"/>
        <item x="203"/>
        <item x="147"/>
        <item x="35"/>
        <item x="153"/>
        <item x="452"/>
        <item x="139"/>
        <item x="94"/>
        <item x="353"/>
        <item x="249"/>
        <item x="151"/>
        <item x="354"/>
        <item x="180"/>
        <item x="272"/>
        <item x="85"/>
        <item x="42"/>
        <item x="376"/>
        <item x="208"/>
        <item x="188"/>
        <item x="80"/>
        <item x="351"/>
        <item x="37"/>
        <item x="342"/>
        <item x="96"/>
        <item x="318"/>
        <item x="220"/>
        <item x="492"/>
        <item x="125"/>
        <item x="11"/>
        <item x="480"/>
        <item x="122"/>
        <item x="462"/>
        <item x="161"/>
        <item x="226"/>
        <item x="132"/>
        <item x="257"/>
        <item x="366"/>
        <item x="448"/>
        <item x="69"/>
        <item x="321"/>
        <item x="168"/>
        <item x="286"/>
        <item x="430"/>
        <item x="331"/>
        <item x="1"/>
        <item x="450"/>
        <item x="229"/>
        <item x="269"/>
        <item x="13"/>
        <item x="418"/>
        <item x="374"/>
        <item x="9"/>
        <item x="394"/>
        <item x="91"/>
        <item x="270"/>
        <item x="476"/>
        <item x="49"/>
        <item x="283"/>
        <item x="360"/>
        <item x="190"/>
        <item x="169"/>
        <item x="87"/>
        <item x="93"/>
        <item x="253"/>
        <item x="157"/>
        <item x="166"/>
        <item x="135"/>
        <item x="361"/>
        <item x="437"/>
        <item x="183"/>
        <item x="416"/>
        <item t="default"/>
      </items>
    </pivotField>
    <pivotField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compact="0" showAll="0">
      <items count="501">
        <item x="270"/>
        <item x="361"/>
        <item x="166"/>
        <item x="135"/>
        <item x="416"/>
        <item x="93"/>
        <item x="122"/>
        <item x="269"/>
        <item x="437"/>
        <item x="42"/>
        <item x="394"/>
        <item x="169"/>
        <item x="91"/>
        <item x="183"/>
        <item x="87"/>
        <item x="253"/>
        <item x="476"/>
        <item x="450"/>
        <item x="366"/>
        <item x="374"/>
        <item x="180"/>
        <item x="342"/>
        <item x="418"/>
        <item x="157"/>
        <item x="9"/>
        <item x="360"/>
        <item x="351"/>
        <item x="190"/>
        <item x="331"/>
        <item x="448"/>
        <item x="452"/>
        <item x="84"/>
        <item x="1"/>
        <item x="272"/>
        <item x="257"/>
        <item x="69"/>
        <item x="206"/>
        <item x="147"/>
        <item x="49"/>
        <item x="125"/>
        <item x="117"/>
        <item x="226"/>
        <item x="11"/>
        <item x="54"/>
        <item x="466"/>
        <item x="144"/>
        <item x="283"/>
        <item x="229"/>
        <item x="354"/>
        <item x="480"/>
        <item x="23"/>
        <item x="132"/>
        <item x="96"/>
        <item x="151"/>
        <item x="40"/>
        <item x="13"/>
        <item x="321"/>
        <item x="208"/>
        <item x="150"/>
        <item x="228"/>
        <item x="492"/>
        <item x="240"/>
        <item x="436"/>
        <item x="481"/>
        <item x="430"/>
        <item x="188"/>
        <item x="168"/>
        <item x="156"/>
        <item x="80"/>
        <item x="286"/>
        <item x="146"/>
        <item x="220"/>
        <item x="249"/>
        <item x="85"/>
        <item x="318"/>
        <item x="420"/>
        <item x="303"/>
        <item x="161"/>
        <item x="110"/>
        <item x="337"/>
        <item x="260"/>
        <item x="64"/>
        <item x="414"/>
        <item x="242"/>
        <item x="22"/>
        <item x="463"/>
        <item x="462"/>
        <item x="179"/>
        <item x="409"/>
        <item x="53"/>
        <item x="52"/>
        <item x="128"/>
        <item x="415"/>
        <item x="126"/>
        <item x="212"/>
        <item x="358"/>
        <item x="291"/>
        <item x="396"/>
        <item x="284"/>
        <item x="158"/>
        <item x="314"/>
        <item x="27"/>
        <item x="94"/>
        <item x="68"/>
        <item x="376"/>
        <item x="216"/>
        <item x="215"/>
        <item x="336"/>
        <item x="338"/>
        <item x="14"/>
        <item x="185"/>
        <item x="246"/>
        <item x="497"/>
        <item x="89"/>
        <item x="316"/>
        <item x="203"/>
        <item x="15"/>
        <item x="139"/>
        <item x="37"/>
        <item x="370"/>
        <item x="281"/>
        <item x="287"/>
        <item x="353"/>
        <item x="400"/>
        <item x="165"/>
        <item x="417"/>
        <item x="469"/>
        <item x="35"/>
        <item x="189"/>
        <item x="153"/>
        <item x="99"/>
        <item x="458"/>
        <item x="186"/>
        <item x="71"/>
        <item x="312"/>
        <item x="130"/>
        <item x="410"/>
        <item x="77"/>
        <item x="444"/>
        <item x="237"/>
        <item x="325"/>
        <item x="61"/>
        <item x="181"/>
        <item x="322"/>
        <item x="494"/>
        <item x="137"/>
        <item x="224"/>
        <item x="273"/>
        <item x="364"/>
        <item x="50"/>
        <item x="43"/>
        <item x="343"/>
        <item x="225"/>
        <item x="24"/>
        <item x="301"/>
        <item x="484"/>
        <item x="297"/>
        <item x="349"/>
        <item x="359"/>
        <item x="55"/>
        <item x="175"/>
        <item x="275"/>
        <item x="51"/>
        <item x="333"/>
        <item x="460"/>
        <item x="292"/>
        <item x="348"/>
        <item x="19"/>
        <item x="310"/>
        <item x="427"/>
        <item x="276"/>
        <item x="347"/>
        <item x="233"/>
        <item x="232"/>
        <item x="194"/>
        <item x="145"/>
        <item x="455"/>
        <item x="172"/>
        <item x="482"/>
        <item x="369"/>
        <item x="282"/>
        <item x="184"/>
        <item x="116"/>
        <item x="393"/>
        <item x="88"/>
        <item x="296"/>
        <item x="324"/>
        <item x="473"/>
        <item x="12"/>
        <item x="439"/>
        <item x="44"/>
        <item x="478"/>
        <item x="371"/>
        <item x="59"/>
        <item x="323"/>
        <item x="262"/>
        <item x="289"/>
        <item x="192"/>
        <item x="459"/>
        <item x="335"/>
        <item x="187"/>
        <item x="197"/>
        <item x="8"/>
        <item x="429"/>
        <item x="305"/>
        <item x="356"/>
        <item x="163"/>
        <item x="385"/>
        <item x="227"/>
        <item x="327"/>
        <item x="243"/>
        <item x="261"/>
        <item x="219"/>
        <item x="234"/>
        <item x="196"/>
        <item x="344"/>
        <item x="36"/>
        <item x="365"/>
        <item x="131"/>
        <item x="339"/>
        <item x="108"/>
        <item x="290"/>
        <item x="255"/>
        <item x="207"/>
        <item x="214"/>
        <item x="399"/>
        <item x="209"/>
        <item x="73"/>
        <item x="123"/>
        <item x="375"/>
        <item x="389"/>
        <item x="355"/>
        <item x="182"/>
        <item x="334"/>
        <item x="105"/>
        <item x="453"/>
        <item x="107"/>
        <item x="464"/>
        <item x="222"/>
        <item x="213"/>
        <item x="133"/>
        <item x="167"/>
        <item x="47"/>
        <item x="426"/>
        <item x="29"/>
        <item x="403"/>
        <item x="4"/>
        <item x="428"/>
        <item x="32"/>
        <item x="461"/>
        <item x="441"/>
        <item x="446"/>
        <item x="114"/>
        <item x="328"/>
        <item x="244"/>
        <item x="254"/>
        <item x="449"/>
        <item x="6"/>
        <item x="295"/>
        <item x="79"/>
        <item x="39"/>
        <item x="496"/>
        <item x="298"/>
        <item x="111"/>
        <item x="346"/>
        <item x="363"/>
        <item x="285"/>
        <item x="488"/>
        <item x="258"/>
        <item x="134"/>
        <item x="112"/>
        <item x="205"/>
        <item x="265"/>
        <item x="308"/>
        <item x="395"/>
        <item x="202"/>
        <item x="293"/>
        <item x="76"/>
        <item x="320"/>
        <item x="75"/>
        <item x="313"/>
        <item x="231"/>
        <item x="200"/>
        <item x="404"/>
        <item x="390"/>
        <item x="431"/>
        <item x="7"/>
        <item x="201"/>
        <item x="198"/>
        <item x="493"/>
        <item x="121"/>
        <item x="251"/>
        <item x="101"/>
        <item x="171"/>
        <item x="30"/>
        <item x="70"/>
        <item x="263"/>
        <item x="239"/>
        <item x="259"/>
        <item x="21"/>
        <item x="195"/>
        <item x="109"/>
        <item x="18"/>
        <item x="31"/>
        <item x="65"/>
        <item x="309"/>
        <item x="288"/>
        <item x="422"/>
        <item x="490"/>
        <item x="100"/>
        <item x="264"/>
        <item x="17"/>
        <item x="457"/>
        <item x="129"/>
        <item x="178"/>
        <item x="387"/>
        <item x="173"/>
        <item x="143"/>
        <item x="142"/>
        <item x="294"/>
        <item x="495"/>
        <item x="326"/>
        <item x="20"/>
        <item x="210"/>
        <item x="57"/>
        <item x="411"/>
        <item x="211"/>
        <item x="124"/>
        <item x="465"/>
        <item x="499"/>
        <item x="266"/>
        <item x="306"/>
        <item x="92"/>
        <item x="149"/>
        <item x="479"/>
        <item x="136"/>
        <item x="46"/>
        <item x="489"/>
        <item x="485"/>
        <item x="103"/>
        <item x="315"/>
        <item x="138"/>
        <item x="221"/>
        <item x="152"/>
        <item x="401"/>
        <item x="319"/>
        <item x="332"/>
        <item x="277"/>
        <item x="330"/>
        <item x="350"/>
        <item x="477"/>
        <item x="58"/>
        <item x="230"/>
        <item x="300"/>
        <item x="176"/>
        <item x="104"/>
        <item x="267"/>
        <item x="113"/>
        <item x="278"/>
        <item x="447"/>
        <item x="3"/>
        <item x="304"/>
        <item x="236"/>
        <item x="120"/>
        <item x="440"/>
        <item x="235"/>
        <item x="380"/>
        <item x="256"/>
        <item x="398"/>
        <item x="317"/>
        <item x="95"/>
        <item x="86"/>
        <item x="74"/>
        <item x="408"/>
        <item x="405"/>
        <item x="468"/>
        <item x="299"/>
        <item x="340"/>
        <item x="352"/>
        <item x="432"/>
        <item x="119"/>
        <item x="160"/>
        <item x="118"/>
        <item x="252"/>
        <item x="10"/>
        <item x="434"/>
        <item x="248"/>
        <item x="341"/>
        <item x="357"/>
        <item x="419"/>
        <item x="491"/>
        <item x="383"/>
        <item x="378"/>
        <item x="382"/>
        <item x="56"/>
        <item x="162"/>
        <item x="62"/>
        <item x="311"/>
        <item x="472"/>
        <item x="83"/>
        <item x="115"/>
        <item x="386"/>
        <item x="362"/>
        <item x="245"/>
        <item x="379"/>
        <item x="487"/>
        <item x="470"/>
        <item x="45"/>
        <item x="159"/>
        <item x="127"/>
        <item x="154"/>
        <item x="98"/>
        <item x="435"/>
        <item x="48"/>
        <item x="82"/>
        <item x="140"/>
        <item x="329"/>
        <item x="274"/>
        <item x="397"/>
        <item x="425"/>
        <item x="483"/>
        <item x="438"/>
        <item x="191"/>
        <item x="474"/>
        <item x="66"/>
        <item x="498"/>
        <item x="106"/>
        <item x="164"/>
        <item x="28"/>
        <item x="402"/>
        <item x="241"/>
        <item x="391"/>
        <item x="377"/>
        <item x="486"/>
        <item x="407"/>
        <item x="26"/>
        <item x="78"/>
        <item x="421"/>
        <item x="97"/>
        <item x="367"/>
        <item x="38"/>
        <item x="177"/>
        <item x="218"/>
        <item x="443"/>
        <item x="454"/>
        <item x="199"/>
        <item x="72"/>
        <item x="60"/>
        <item x="279"/>
        <item x="412"/>
        <item x="381"/>
        <item x="102"/>
        <item x="442"/>
        <item x="271"/>
        <item x="25"/>
        <item x="302"/>
        <item x="368"/>
        <item x="467"/>
        <item x="90"/>
        <item x="345"/>
        <item x="247"/>
        <item x="5"/>
        <item x="141"/>
        <item x="471"/>
        <item x="373"/>
        <item x="204"/>
        <item x="193"/>
        <item x="413"/>
        <item x="280"/>
        <item x="388"/>
        <item x="174"/>
        <item x="250"/>
        <item x="384"/>
        <item x="372"/>
        <item x="67"/>
        <item x="34"/>
        <item x="433"/>
        <item x="424"/>
        <item x="268"/>
        <item x="392"/>
        <item x="238"/>
        <item x="223"/>
        <item x="217"/>
        <item x="2"/>
        <item x="81"/>
        <item x="423"/>
        <item x="445"/>
        <item x="0"/>
        <item x="307"/>
        <item x="63"/>
        <item x="41"/>
        <item x="451"/>
        <item x="475"/>
        <item x="148"/>
        <item x="406"/>
        <item x="170"/>
        <item x="33"/>
        <item x="456"/>
        <item x="16"/>
        <item x="155"/>
        <item t="default"/>
      </items>
    </pivotField>
    <pivotField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axis="axisRow" compact="0" showAll="0">
      <items count="8">
        <item x="5"/>
        <item x="1"/>
        <item x="4"/>
        <item x="3"/>
        <item x="2"/>
        <item x="0"/>
        <item x="6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 ($)" fld="5" baseField="0" baseItem="0"/>
    <dataField name="Sum of Revenue ($)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indent="0" outline="1" outlineData="1" showDrill="1" multipleFieldFilters="0" chartFormat="4">
  <location ref="I3:J9" firstHeaderRow="1" firstDataRow="1" firstDataCol="1"/>
  <pivotFields count="17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80"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dataField="1" showAll="0">
      <items count="501">
        <item x="24"/>
        <item x="315"/>
        <item x="152"/>
        <item x="280"/>
        <item x="57"/>
        <item x="312"/>
        <item x="294"/>
        <item x="79"/>
        <item x="349"/>
        <item x="104"/>
        <item x="411"/>
        <item x="14"/>
        <item x="95"/>
        <item x="97"/>
        <item x="472"/>
        <item x="56"/>
        <item x="474"/>
        <item x="162"/>
        <item x="398"/>
        <item x="319"/>
        <item x="100"/>
        <item x="434"/>
        <item x="176"/>
        <item x="471"/>
        <item x="2"/>
        <item x="346"/>
        <item x="123"/>
        <item x="118"/>
        <item x="446"/>
        <item x="224"/>
        <item x="320"/>
        <item x="67"/>
        <item x="282"/>
        <item x="201"/>
        <item x="372"/>
        <item x="74"/>
        <item x="124"/>
        <item x="113"/>
        <item x="296"/>
        <item x="425"/>
        <item x="33"/>
        <item x="41"/>
        <item x="182"/>
        <item x="111"/>
        <item x="250"/>
        <item x="143"/>
        <item x="153"/>
        <item x="30"/>
        <item x="44"/>
        <item x="98"/>
        <item x="196"/>
        <item x="387"/>
        <item x="373"/>
        <item x="455"/>
        <item x="310"/>
        <item x="7"/>
        <item x="478"/>
        <item x="242"/>
        <item x="22"/>
        <item x="426"/>
        <item x="192"/>
        <item x="173"/>
        <item x="407"/>
        <item x="267"/>
        <item x="106"/>
        <item x="388"/>
        <item x="37"/>
        <item x="460"/>
        <item x="404"/>
        <item x="243"/>
        <item x="432"/>
        <item x="467"/>
        <item x="200"/>
        <item x="464"/>
        <item x="199"/>
        <item x="114"/>
        <item x="365"/>
        <item x="129"/>
        <item x="295"/>
        <item x="456"/>
        <item x="457"/>
        <item x="289"/>
        <item x="442"/>
        <item x="5"/>
        <item x="413"/>
        <item x="39"/>
        <item x="285"/>
        <item x="78"/>
        <item x="19"/>
        <item x="470"/>
        <item x="202"/>
        <item x="300"/>
        <item x="207"/>
        <item x="284"/>
        <item x="214"/>
        <item x="187"/>
        <item x="486"/>
        <item x="99"/>
        <item x="441"/>
        <item x="405"/>
        <item x="293"/>
        <item x="156"/>
        <item x="71"/>
        <item x="444"/>
        <item x="36"/>
        <item x="344"/>
        <item x="363"/>
        <item x="248"/>
        <item x="357"/>
        <item x="221"/>
        <item x="195"/>
        <item x="63"/>
        <item x="231"/>
        <item x="75"/>
        <item x="222"/>
        <item x="440"/>
        <item x="458"/>
        <item x="179"/>
        <item x="254"/>
        <item x="35"/>
        <item x="336"/>
        <item x="47"/>
        <item x="236"/>
        <item x="227"/>
        <item x="461"/>
        <item x="193"/>
        <item x="391"/>
        <item x="325"/>
        <item x="420"/>
        <item x="103"/>
        <item x="409"/>
        <item x="164"/>
        <item x="229"/>
        <item x="48"/>
        <item x="223"/>
        <item x="96"/>
        <item x="232"/>
        <item x="423"/>
        <item x="396"/>
        <item x="247"/>
        <item x="12"/>
        <item x="28"/>
        <item x="34"/>
        <item x="125"/>
        <item x="45"/>
        <item x="401"/>
        <item x="230"/>
        <item x="72"/>
        <item x="428"/>
        <item x="139"/>
        <item x="274"/>
        <item x="251"/>
        <item x="273"/>
        <item x="234"/>
        <item x="436"/>
        <item x="60"/>
        <item x="256"/>
        <item x="261"/>
        <item x="238"/>
        <item x="65"/>
        <item x="188"/>
        <item x="429"/>
        <item x="165"/>
        <item x="356"/>
        <item x="110"/>
        <item x="220"/>
        <item x="21"/>
        <item x="26"/>
        <item x="279"/>
        <item x="219"/>
        <item x="46"/>
        <item x="495"/>
        <item x="81"/>
        <item x="449"/>
        <item x="376"/>
        <item x="497"/>
        <item x="290"/>
        <item x="0"/>
        <item x="116"/>
        <item x="155"/>
        <item x="94"/>
        <item x="172"/>
        <item x="213"/>
        <item x="303"/>
        <item x="59"/>
        <item x="120"/>
        <item x="496"/>
        <item x="20"/>
        <item x="321"/>
        <item x="422"/>
        <item x="430"/>
        <item x="288"/>
        <item x="185"/>
        <item x="491"/>
        <item x="489"/>
        <item x="291"/>
        <item x="318"/>
        <item x="408"/>
        <item x="268"/>
        <item x="308"/>
        <item x="82"/>
        <item x="218"/>
        <item x="6"/>
        <item x="329"/>
        <item x="493"/>
        <item x="305"/>
        <item x="189"/>
        <item x="246"/>
        <item x="13"/>
        <item x="142"/>
        <item x="481"/>
        <item x="333"/>
        <item x="438"/>
        <item x="277"/>
        <item x="287"/>
        <item x="463"/>
        <item x="421"/>
        <item x="8"/>
        <item x="447"/>
        <item x="499"/>
        <item x="175"/>
        <item x="323"/>
        <item x="233"/>
        <item x="417"/>
        <item x="307"/>
        <item x="51"/>
        <item x="419"/>
        <item x="194"/>
        <item x="141"/>
        <item x="379"/>
        <item x="377"/>
        <item x="326"/>
        <item x="443"/>
        <item x="278"/>
        <item x="77"/>
        <item x="49"/>
        <item x="134"/>
        <item x="264"/>
        <item x="389"/>
        <item x="43"/>
        <item x="190"/>
        <item x="9"/>
        <item x="459"/>
        <item x="477"/>
        <item x="102"/>
        <item x="32"/>
        <item x="311"/>
        <item x="158"/>
        <item x="211"/>
        <item x="212"/>
        <item x="167"/>
        <item x="371"/>
        <item x="217"/>
        <item x="393"/>
        <item x="309"/>
        <item x="249"/>
        <item x="494"/>
        <item x="121"/>
        <item x="16"/>
        <item x="70"/>
        <item x="375"/>
        <item x="184"/>
        <item x="159"/>
        <item x="85"/>
        <item x="31"/>
        <item x="286"/>
        <item x="381"/>
        <item x="490"/>
        <item x="339"/>
        <item x="255"/>
        <item x="86"/>
        <item x="313"/>
        <item x="397"/>
        <item x="301"/>
        <item x="262"/>
        <item x="119"/>
        <item x="331"/>
        <item x="272"/>
        <item x="453"/>
        <item x="283"/>
        <item x="237"/>
        <item x="18"/>
        <item x="1"/>
        <item x="498"/>
        <item x="68"/>
        <item x="10"/>
        <item x="364"/>
        <item x="109"/>
        <item x="362"/>
        <item x="170"/>
        <item x="115"/>
        <item x="390"/>
        <item x="466"/>
        <item x="144"/>
        <item x="208"/>
        <item x="252"/>
        <item x="191"/>
        <item x="454"/>
        <item x="27"/>
        <item x="304"/>
        <item x="415"/>
        <item x="353"/>
        <item x="161"/>
        <item x="204"/>
        <item x="160"/>
        <item x="138"/>
        <item x="394"/>
        <item x="38"/>
        <item x="54"/>
        <item x="101"/>
        <item x="29"/>
        <item x="476"/>
        <item x="197"/>
        <item x="58"/>
        <item x="445"/>
        <item x="487"/>
        <item x="314"/>
        <item x="406"/>
        <item x="335"/>
        <item x="15"/>
        <item x="69"/>
        <item x="468"/>
        <item x="317"/>
        <item x="244"/>
        <item x="298"/>
        <item x="181"/>
        <item x="52"/>
        <item x="359"/>
        <item x="483"/>
        <item x="378"/>
        <item x="402"/>
        <item x="168"/>
        <item x="418"/>
        <item x="431"/>
        <item x="203"/>
        <item x="482"/>
        <item x="260"/>
        <item x="105"/>
        <item x="345"/>
        <item x="266"/>
        <item x="127"/>
        <item x="340"/>
        <item x="384"/>
        <item x="145"/>
        <item x="427"/>
        <item x="89"/>
        <item x="479"/>
        <item x="338"/>
        <item x="146"/>
        <item x="433"/>
        <item x="3"/>
        <item x="210"/>
        <item x="107"/>
        <item x="292"/>
        <item x="322"/>
        <item x="259"/>
        <item x="451"/>
        <item x="328"/>
        <item x="53"/>
        <item x="25"/>
        <item x="439"/>
        <item x="324"/>
        <item x="128"/>
        <item x="276"/>
        <item x="355"/>
        <item x="241"/>
        <item x="448"/>
        <item x="154"/>
        <item x="209"/>
        <item x="385"/>
        <item x="149"/>
        <item x="133"/>
        <item x="186"/>
        <item x="369"/>
        <item x="400"/>
        <item x="306"/>
        <item x="352"/>
        <item x="354"/>
        <item x="178"/>
        <item x="327"/>
        <item x="414"/>
        <item x="183"/>
        <item x="462"/>
        <item x="17"/>
        <item x="131"/>
        <item x="150"/>
        <item x="366"/>
        <item x="392"/>
        <item x="424"/>
        <item x="360"/>
        <item x="253"/>
        <item x="216"/>
        <item x="347"/>
        <item x="140"/>
        <item x="93"/>
        <item x="258"/>
        <item x="382"/>
        <item x="92"/>
        <item x="351"/>
        <item x="330"/>
        <item x="469"/>
        <item x="206"/>
        <item x="40"/>
        <item x="492"/>
        <item x="90"/>
        <item x="148"/>
        <item x="126"/>
        <item x="370"/>
        <item x="62"/>
        <item x="302"/>
        <item x="42"/>
        <item x="169"/>
        <item x="380"/>
        <item x="465"/>
        <item x="343"/>
        <item x="4"/>
        <item x="55"/>
        <item x="257"/>
        <item x="73"/>
        <item x="84"/>
        <item x="83"/>
        <item x="112"/>
        <item x="297"/>
        <item x="117"/>
        <item x="132"/>
        <item x="342"/>
        <item x="374"/>
        <item x="412"/>
        <item x="171"/>
        <item x="450"/>
        <item x="383"/>
        <item x="484"/>
        <item x="435"/>
        <item x="386"/>
        <item x="265"/>
        <item x="334"/>
        <item x="316"/>
        <item x="350"/>
        <item x="245"/>
        <item x="61"/>
        <item x="88"/>
        <item x="361"/>
        <item x="348"/>
        <item x="66"/>
        <item x="163"/>
        <item x="215"/>
        <item x="76"/>
        <item x="410"/>
        <item x="437"/>
        <item x="135"/>
        <item x="299"/>
        <item x="198"/>
        <item x="64"/>
        <item x="452"/>
        <item x="136"/>
        <item x="151"/>
        <item x="50"/>
        <item x="91"/>
        <item x="332"/>
        <item x="275"/>
        <item x="271"/>
        <item x="416"/>
        <item x="205"/>
        <item x="269"/>
        <item x="228"/>
        <item x="485"/>
        <item x="473"/>
        <item x="395"/>
        <item x="240"/>
        <item x="80"/>
        <item x="263"/>
        <item x="11"/>
        <item x="137"/>
        <item x="180"/>
        <item x="108"/>
        <item x="281"/>
        <item x="122"/>
        <item x="239"/>
        <item x="475"/>
        <item x="399"/>
        <item x="367"/>
        <item x="226"/>
        <item x="157"/>
        <item x="480"/>
        <item x="174"/>
        <item x="341"/>
        <item x="166"/>
        <item x="225"/>
        <item x="270"/>
        <item x="147"/>
        <item x="23"/>
        <item x="337"/>
        <item x="358"/>
        <item x="235"/>
        <item x="87"/>
        <item x="130"/>
        <item x="368"/>
        <item x="403"/>
        <item x="488"/>
        <item x="177"/>
        <item t="default"/>
      </items>
    </pivotField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udget ($)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6">
  <location ref="B30:C36" firstHeaderRow="1" firstDataRow="1" firstDataCol="1"/>
  <pivotFields count="1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>
      <items count="174">
        <item x="64"/>
        <item x="109"/>
        <item x="121"/>
        <item x="68"/>
        <item x="81"/>
        <item x="118"/>
        <item x="37"/>
        <item x="116"/>
        <item x="142"/>
        <item x="53"/>
        <item x="13"/>
        <item x="123"/>
        <item x="91"/>
        <item x="139"/>
        <item x="136"/>
        <item x="30"/>
        <item x="57"/>
        <item x="146"/>
        <item x="126"/>
        <item x="143"/>
        <item x="125"/>
        <item x="165"/>
        <item x="102"/>
        <item x="41"/>
        <item x="101"/>
        <item x="156"/>
        <item x="113"/>
        <item x="170"/>
        <item x="46"/>
        <item x="74"/>
        <item x="17"/>
        <item x="168"/>
        <item x="36"/>
        <item x="12"/>
        <item x="85"/>
        <item x="1"/>
        <item x="129"/>
        <item x="134"/>
        <item x="26"/>
        <item x="87"/>
        <item x="166"/>
        <item x="47"/>
        <item x="48"/>
        <item x="89"/>
        <item x="150"/>
        <item x="59"/>
        <item x="152"/>
        <item x="127"/>
        <item x="8"/>
        <item x="14"/>
        <item x="138"/>
        <item x="43"/>
        <item x="157"/>
        <item x="140"/>
        <item x="111"/>
        <item x="84"/>
        <item x="60"/>
        <item x="160"/>
        <item x="99"/>
        <item x="32"/>
        <item x="112"/>
        <item x="22"/>
        <item x="49"/>
        <item x="162"/>
        <item x="67"/>
        <item x="128"/>
        <item x="108"/>
        <item x="76"/>
        <item x="54"/>
        <item x="29"/>
        <item x="62"/>
        <item x="65"/>
        <item x="148"/>
        <item x="90"/>
        <item x="79"/>
        <item x="55"/>
        <item x="106"/>
        <item x="83"/>
        <item x="75"/>
        <item x="24"/>
        <item x="34"/>
        <item x="61"/>
        <item x="15"/>
        <item x="42"/>
        <item x="45"/>
        <item x="172"/>
        <item x="115"/>
        <item x="133"/>
        <item x="66"/>
        <item x="132"/>
        <item x="56"/>
        <item x="82"/>
        <item x="158"/>
        <item x="153"/>
        <item x="145"/>
        <item x="105"/>
        <item x="73"/>
        <item x="149"/>
        <item x="9"/>
        <item x="147"/>
        <item x="6"/>
        <item x="52"/>
        <item x="35"/>
        <item x="131"/>
        <item x="167"/>
        <item x="2"/>
        <item x="77"/>
        <item x="23"/>
        <item x="10"/>
        <item x="31"/>
        <item x="7"/>
        <item x="58"/>
        <item x="122"/>
        <item x="33"/>
        <item x="151"/>
        <item x="169"/>
        <item x="96"/>
        <item x="38"/>
        <item x="5"/>
        <item x="114"/>
        <item x="21"/>
        <item x="70"/>
        <item x="27"/>
        <item x="51"/>
        <item x="88"/>
        <item x="98"/>
        <item x="50"/>
        <item x="137"/>
        <item x="78"/>
        <item x="80"/>
        <item x="120"/>
        <item x="86"/>
        <item x="103"/>
        <item x="71"/>
        <item x="0"/>
        <item x="107"/>
        <item x="171"/>
        <item x="104"/>
        <item x="19"/>
        <item x="39"/>
        <item x="161"/>
        <item x="93"/>
        <item x="155"/>
        <item x="97"/>
        <item x="110"/>
        <item x="4"/>
        <item x="130"/>
        <item x="100"/>
        <item x="154"/>
        <item x="163"/>
        <item x="124"/>
        <item x="40"/>
        <item x="141"/>
        <item x="135"/>
        <item x="94"/>
        <item x="69"/>
        <item x="28"/>
        <item x="16"/>
        <item x="117"/>
        <item x="11"/>
        <item x="44"/>
        <item x="3"/>
        <item x="92"/>
        <item x="25"/>
        <item x="20"/>
        <item x="164"/>
        <item x="144"/>
        <item x="72"/>
        <item x="18"/>
        <item x="159"/>
        <item x="95"/>
        <item x="119"/>
        <item x="63"/>
        <item t="default"/>
      </items>
    </pivotField>
    <pivotField axis="axisRow" compact="0" showAll="0">
      <items count="6">
        <item x="1"/>
        <item x="0"/>
        <item x="4"/>
        <item x="3"/>
        <item x="2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01">
        <item x="24"/>
        <item x="315"/>
        <item x="152"/>
        <item x="280"/>
        <item x="57"/>
        <item x="312"/>
        <item x="294"/>
        <item x="79"/>
        <item x="349"/>
        <item x="104"/>
        <item x="411"/>
        <item x="14"/>
        <item x="95"/>
        <item x="97"/>
        <item x="472"/>
        <item x="56"/>
        <item x="474"/>
        <item x="162"/>
        <item x="398"/>
        <item x="319"/>
        <item x="100"/>
        <item x="434"/>
        <item x="176"/>
        <item x="471"/>
        <item x="2"/>
        <item x="346"/>
        <item x="123"/>
        <item x="118"/>
        <item x="446"/>
        <item x="224"/>
        <item x="320"/>
        <item x="67"/>
        <item x="282"/>
        <item x="201"/>
        <item x="372"/>
        <item x="74"/>
        <item x="124"/>
        <item x="113"/>
        <item x="296"/>
        <item x="425"/>
        <item x="33"/>
        <item x="41"/>
        <item x="182"/>
        <item x="111"/>
        <item x="250"/>
        <item x="143"/>
        <item x="153"/>
        <item x="30"/>
        <item x="44"/>
        <item x="98"/>
        <item x="196"/>
        <item x="387"/>
        <item x="373"/>
        <item x="455"/>
        <item x="310"/>
        <item x="7"/>
        <item x="478"/>
        <item x="242"/>
        <item x="22"/>
        <item x="426"/>
        <item x="192"/>
        <item x="173"/>
        <item x="407"/>
        <item x="267"/>
        <item x="106"/>
        <item x="388"/>
        <item x="37"/>
        <item x="460"/>
        <item x="404"/>
        <item x="243"/>
        <item x="432"/>
        <item x="467"/>
        <item x="200"/>
        <item x="464"/>
        <item x="199"/>
        <item x="114"/>
        <item x="365"/>
        <item x="129"/>
        <item x="295"/>
        <item x="456"/>
        <item x="457"/>
        <item x="289"/>
        <item x="442"/>
        <item x="5"/>
        <item x="413"/>
        <item x="39"/>
        <item x="285"/>
        <item x="78"/>
        <item x="19"/>
        <item x="470"/>
        <item x="202"/>
        <item x="300"/>
        <item x="207"/>
        <item x="284"/>
        <item x="214"/>
        <item x="187"/>
        <item x="486"/>
        <item x="99"/>
        <item x="441"/>
        <item x="405"/>
        <item x="293"/>
        <item x="156"/>
        <item x="71"/>
        <item x="444"/>
        <item x="36"/>
        <item x="344"/>
        <item x="363"/>
        <item x="248"/>
        <item x="357"/>
        <item x="221"/>
        <item x="195"/>
        <item x="63"/>
        <item x="231"/>
        <item x="75"/>
        <item x="222"/>
        <item x="440"/>
        <item x="458"/>
        <item x="179"/>
        <item x="254"/>
        <item x="35"/>
        <item x="336"/>
        <item x="47"/>
        <item x="236"/>
        <item x="227"/>
        <item x="461"/>
        <item x="193"/>
        <item x="391"/>
        <item x="325"/>
        <item x="420"/>
        <item x="103"/>
        <item x="409"/>
        <item x="164"/>
        <item x="229"/>
        <item x="48"/>
        <item x="223"/>
        <item x="96"/>
        <item x="232"/>
        <item x="423"/>
        <item x="396"/>
        <item x="247"/>
        <item x="12"/>
        <item x="28"/>
        <item x="34"/>
        <item x="125"/>
        <item x="45"/>
        <item x="401"/>
        <item x="230"/>
        <item x="72"/>
        <item x="428"/>
        <item x="139"/>
        <item x="274"/>
        <item x="251"/>
        <item x="273"/>
        <item x="234"/>
        <item x="436"/>
        <item x="60"/>
        <item x="256"/>
        <item x="261"/>
        <item x="238"/>
        <item x="65"/>
        <item x="188"/>
        <item x="429"/>
        <item x="165"/>
        <item x="356"/>
        <item x="110"/>
        <item x="220"/>
        <item x="21"/>
        <item x="26"/>
        <item x="279"/>
        <item x="219"/>
        <item x="46"/>
        <item x="495"/>
        <item x="81"/>
        <item x="449"/>
        <item x="376"/>
        <item x="497"/>
        <item x="290"/>
        <item x="0"/>
        <item x="116"/>
        <item x="155"/>
        <item x="94"/>
        <item x="172"/>
        <item x="213"/>
        <item x="303"/>
        <item x="59"/>
        <item x="120"/>
        <item x="496"/>
        <item x="20"/>
        <item x="321"/>
        <item x="422"/>
        <item x="430"/>
        <item x="288"/>
        <item x="185"/>
        <item x="491"/>
        <item x="489"/>
        <item x="291"/>
        <item x="318"/>
        <item x="408"/>
        <item x="268"/>
        <item x="308"/>
        <item x="82"/>
        <item x="218"/>
        <item x="6"/>
        <item x="329"/>
        <item x="493"/>
        <item x="305"/>
        <item x="189"/>
        <item x="246"/>
        <item x="13"/>
        <item x="142"/>
        <item x="481"/>
        <item x="333"/>
        <item x="438"/>
        <item x="277"/>
        <item x="287"/>
        <item x="463"/>
        <item x="421"/>
        <item x="8"/>
        <item x="447"/>
        <item x="499"/>
        <item x="175"/>
        <item x="323"/>
        <item x="233"/>
        <item x="417"/>
        <item x="307"/>
        <item x="51"/>
        <item x="419"/>
        <item x="194"/>
        <item x="141"/>
        <item x="379"/>
        <item x="377"/>
        <item x="326"/>
        <item x="443"/>
        <item x="278"/>
        <item x="77"/>
        <item x="49"/>
        <item x="134"/>
        <item x="264"/>
        <item x="389"/>
        <item x="43"/>
        <item x="190"/>
        <item x="9"/>
        <item x="459"/>
        <item x="477"/>
        <item x="102"/>
        <item x="32"/>
        <item x="311"/>
        <item x="158"/>
        <item x="211"/>
        <item x="212"/>
        <item x="167"/>
        <item x="371"/>
        <item x="217"/>
        <item x="393"/>
        <item x="309"/>
        <item x="249"/>
        <item x="494"/>
        <item x="121"/>
        <item x="16"/>
        <item x="70"/>
        <item x="375"/>
        <item x="184"/>
        <item x="159"/>
        <item x="85"/>
        <item x="31"/>
        <item x="286"/>
        <item x="381"/>
        <item x="490"/>
        <item x="339"/>
        <item x="255"/>
        <item x="86"/>
        <item x="313"/>
        <item x="397"/>
        <item x="301"/>
        <item x="262"/>
        <item x="119"/>
        <item x="331"/>
        <item x="272"/>
        <item x="453"/>
        <item x="283"/>
        <item x="237"/>
        <item x="18"/>
        <item x="1"/>
        <item x="498"/>
        <item x="68"/>
        <item x="10"/>
        <item x="364"/>
        <item x="109"/>
        <item x="362"/>
        <item x="170"/>
        <item x="115"/>
        <item x="390"/>
        <item x="466"/>
        <item x="144"/>
        <item x="208"/>
        <item x="252"/>
        <item x="191"/>
        <item x="454"/>
        <item x="27"/>
        <item x="304"/>
        <item x="415"/>
        <item x="353"/>
        <item x="161"/>
        <item x="204"/>
        <item x="160"/>
        <item x="138"/>
        <item x="394"/>
        <item x="38"/>
        <item x="54"/>
        <item x="101"/>
        <item x="29"/>
        <item x="476"/>
        <item x="197"/>
        <item x="58"/>
        <item x="445"/>
        <item x="487"/>
        <item x="314"/>
        <item x="406"/>
        <item x="335"/>
        <item x="15"/>
        <item x="69"/>
        <item x="468"/>
        <item x="317"/>
        <item x="244"/>
        <item x="298"/>
        <item x="181"/>
        <item x="52"/>
        <item x="359"/>
        <item x="483"/>
        <item x="378"/>
        <item x="402"/>
        <item x="168"/>
        <item x="418"/>
        <item x="431"/>
        <item x="203"/>
        <item x="482"/>
        <item x="260"/>
        <item x="105"/>
        <item x="345"/>
        <item x="266"/>
        <item x="127"/>
        <item x="340"/>
        <item x="384"/>
        <item x="145"/>
        <item x="427"/>
        <item x="89"/>
        <item x="479"/>
        <item x="338"/>
        <item x="146"/>
        <item x="433"/>
        <item x="3"/>
        <item x="210"/>
        <item x="107"/>
        <item x="292"/>
        <item x="322"/>
        <item x="259"/>
        <item x="451"/>
        <item x="328"/>
        <item x="53"/>
        <item x="25"/>
        <item x="439"/>
        <item x="324"/>
        <item x="128"/>
        <item x="276"/>
        <item x="355"/>
        <item x="241"/>
        <item x="448"/>
        <item x="154"/>
        <item x="209"/>
        <item x="385"/>
        <item x="149"/>
        <item x="133"/>
        <item x="186"/>
        <item x="369"/>
        <item x="400"/>
        <item x="306"/>
        <item x="352"/>
        <item x="354"/>
        <item x="178"/>
        <item x="327"/>
        <item x="414"/>
        <item x="183"/>
        <item x="462"/>
        <item x="17"/>
        <item x="131"/>
        <item x="150"/>
        <item x="366"/>
        <item x="392"/>
        <item x="424"/>
        <item x="360"/>
        <item x="253"/>
        <item x="216"/>
        <item x="347"/>
        <item x="140"/>
        <item x="93"/>
        <item x="258"/>
        <item x="382"/>
        <item x="92"/>
        <item x="351"/>
        <item x="330"/>
        <item x="469"/>
        <item x="206"/>
        <item x="40"/>
        <item x="492"/>
        <item x="90"/>
        <item x="148"/>
        <item x="126"/>
        <item x="370"/>
        <item x="62"/>
        <item x="302"/>
        <item x="42"/>
        <item x="169"/>
        <item x="380"/>
        <item x="465"/>
        <item x="343"/>
        <item x="4"/>
        <item x="55"/>
        <item x="257"/>
        <item x="73"/>
        <item x="84"/>
        <item x="83"/>
        <item x="112"/>
        <item x="297"/>
        <item x="117"/>
        <item x="132"/>
        <item x="342"/>
        <item x="374"/>
        <item x="412"/>
        <item x="171"/>
        <item x="450"/>
        <item x="383"/>
        <item x="484"/>
        <item x="435"/>
        <item x="386"/>
        <item x="265"/>
        <item x="334"/>
        <item x="316"/>
        <item x="350"/>
        <item x="245"/>
        <item x="61"/>
        <item x="88"/>
        <item x="361"/>
        <item x="348"/>
        <item x="66"/>
        <item x="163"/>
        <item x="215"/>
        <item x="76"/>
        <item x="410"/>
        <item x="437"/>
        <item x="135"/>
        <item x="299"/>
        <item x="198"/>
        <item x="64"/>
        <item x="452"/>
        <item x="136"/>
        <item x="151"/>
        <item x="50"/>
        <item x="91"/>
        <item x="332"/>
        <item x="275"/>
        <item x="271"/>
        <item x="416"/>
        <item x="205"/>
        <item x="269"/>
        <item x="228"/>
        <item x="485"/>
        <item x="473"/>
        <item x="395"/>
        <item x="240"/>
        <item x="80"/>
        <item x="263"/>
        <item x="11"/>
        <item x="137"/>
        <item x="180"/>
        <item x="108"/>
        <item x="281"/>
        <item x="122"/>
        <item x="239"/>
        <item x="475"/>
        <item x="399"/>
        <item x="367"/>
        <item x="226"/>
        <item x="157"/>
        <item x="480"/>
        <item x="174"/>
        <item x="341"/>
        <item x="166"/>
        <item x="225"/>
        <item x="270"/>
        <item x="147"/>
        <item x="23"/>
        <item x="337"/>
        <item x="358"/>
        <item x="235"/>
        <item x="87"/>
        <item x="130"/>
        <item x="368"/>
        <item x="403"/>
        <item x="488"/>
        <item x="177"/>
        <item t="default"/>
      </items>
    </pivotField>
    <pivotField compact="0" showAll="0">
      <items count="501">
        <item x="315"/>
        <item x="294"/>
        <item x="472"/>
        <item x="474"/>
        <item x="319"/>
        <item x="446"/>
        <item x="123"/>
        <item x="152"/>
        <item x="162"/>
        <item x="57"/>
        <item x="201"/>
        <item x="33"/>
        <item x="67"/>
        <item x="95"/>
        <item x="280"/>
        <item x="346"/>
        <item x="111"/>
        <item x="79"/>
        <item x="24"/>
        <item x="153"/>
        <item x="411"/>
        <item x="56"/>
        <item x="478"/>
        <item x="143"/>
        <item x="100"/>
        <item x="296"/>
        <item x="434"/>
        <item x="425"/>
        <item x="471"/>
        <item x="41"/>
        <item x="196"/>
        <item x="74"/>
        <item x="312"/>
        <item x="349"/>
        <item x="467"/>
        <item x="224"/>
        <item x="97"/>
        <item x="104"/>
        <item x="44"/>
        <item x="118"/>
        <item x="432"/>
        <item x="14"/>
        <item x="113"/>
        <item x="320"/>
        <item x="387"/>
        <item x="285"/>
        <item x="243"/>
        <item x="398"/>
        <item x="7"/>
        <item x="19"/>
        <item x="106"/>
        <item x="176"/>
        <item x="300"/>
        <item x="199"/>
        <item x="2"/>
        <item x="365"/>
        <item x="124"/>
        <item x="200"/>
        <item x="470"/>
        <item x="456"/>
        <item x="98"/>
        <item x="405"/>
        <item x="357"/>
        <item x="407"/>
        <item x="187"/>
        <item x="36"/>
        <item x="426"/>
        <item x="182"/>
        <item x="460"/>
        <item x="5"/>
        <item x="195"/>
        <item x="344"/>
        <item x="372"/>
        <item x="221"/>
        <item x="63"/>
        <item x="30"/>
        <item x="114"/>
        <item x="231"/>
        <item x="282"/>
        <item x="267"/>
        <item x="293"/>
        <item x="173"/>
        <item x="455"/>
        <item x="464"/>
        <item x="222"/>
        <item x="440"/>
        <item x="214"/>
        <item x="202"/>
        <item x="48"/>
        <item x="207"/>
        <item x="227"/>
        <item x="250"/>
        <item x="242"/>
        <item x="22"/>
        <item x="373"/>
        <item x="310"/>
        <item x="295"/>
        <item x="164"/>
        <item x="12"/>
        <item x="223"/>
        <item x="404"/>
        <item x="388"/>
        <item x="192"/>
        <item x="129"/>
        <item x="35"/>
        <item x="429"/>
        <item x="179"/>
        <item x="442"/>
        <item x="78"/>
        <item x="99"/>
        <item x="37"/>
        <item x="60"/>
        <item x="336"/>
        <item x="251"/>
        <item x="81"/>
        <item x="486"/>
        <item x="234"/>
        <item x="457"/>
        <item x="193"/>
        <item x="47"/>
        <item x="289"/>
        <item x="213"/>
        <item x="413"/>
        <item x="103"/>
        <item x="39"/>
        <item x="26"/>
        <item x="261"/>
        <item x="71"/>
        <item x="28"/>
        <item x="94"/>
        <item x="325"/>
        <item x="291"/>
        <item x="391"/>
        <item x="284"/>
        <item x="461"/>
        <item x="236"/>
        <item x="308"/>
        <item x="254"/>
        <item x="430"/>
        <item x="356"/>
        <item x="21"/>
        <item x="497"/>
        <item x="230"/>
        <item x="232"/>
        <item x="96"/>
        <item x="185"/>
        <item x="274"/>
        <item x="376"/>
        <item x="290"/>
        <item x="248"/>
        <item x="34"/>
        <item x="441"/>
        <item x="421"/>
        <item x="156"/>
        <item x="155"/>
        <item x="401"/>
        <item x="363"/>
        <item x="458"/>
        <item x="45"/>
        <item x="20"/>
        <item x="218"/>
        <item x="428"/>
        <item x="444"/>
        <item x="420"/>
        <item x="321"/>
        <item x="423"/>
        <item x="13"/>
        <item x="229"/>
        <item x="495"/>
        <item x="75"/>
        <item x="396"/>
        <item x="277"/>
        <item x="247"/>
        <item x="491"/>
        <item x="333"/>
        <item x="389"/>
        <item x="419"/>
        <item x="141"/>
        <item x="329"/>
        <item x="139"/>
        <item x="49"/>
        <item x="417"/>
        <item x="188"/>
        <item x="377"/>
        <item x="165"/>
        <item x="6"/>
        <item x="496"/>
        <item x="305"/>
        <item x="463"/>
        <item x="409"/>
        <item x="279"/>
        <item x="72"/>
        <item x="422"/>
        <item x="318"/>
        <item x="494"/>
        <item x="219"/>
        <item x="125"/>
        <item x="303"/>
        <item x="65"/>
        <item x="246"/>
        <item x="116"/>
        <item x="273"/>
        <item x="211"/>
        <item x="436"/>
        <item x="288"/>
        <item x="110"/>
        <item x="256"/>
        <item x="375"/>
        <item x="120"/>
        <item x="311"/>
        <item x="286"/>
        <item x="499"/>
        <item x="194"/>
        <item x="86"/>
        <item x="175"/>
        <item x="68"/>
        <item x="16"/>
        <item x="238"/>
        <item x="212"/>
        <item x="283"/>
        <item x="172"/>
        <item x="408"/>
        <item x="287"/>
        <item x="102"/>
        <item x="459"/>
        <item x="278"/>
        <item x="220"/>
        <item x="167"/>
        <item x="46"/>
        <item x="43"/>
        <item x="144"/>
        <item x="1"/>
        <item x="268"/>
        <item x="204"/>
        <item x="0"/>
        <item x="379"/>
        <item x="233"/>
        <item x="438"/>
        <item x="381"/>
        <item x="69"/>
        <item x="449"/>
        <item x="59"/>
        <item x="10"/>
        <item x="32"/>
        <item x="415"/>
        <item x="362"/>
        <item x="489"/>
        <item x="313"/>
        <item x="477"/>
        <item x="443"/>
        <item x="487"/>
        <item x="493"/>
        <item x="323"/>
        <item x="326"/>
        <item x="77"/>
        <item x="203"/>
        <item x="397"/>
        <item x="197"/>
        <item x="378"/>
        <item x="58"/>
        <item x="8"/>
        <item x="3"/>
        <item x="433"/>
        <item x="264"/>
        <item x="9"/>
        <item x="481"/>
        <item x="331"/>
        <item x="445"/>
        <item x="189"/>
        <item x="142"/>
        <item x="145"/>
        <item x="262"/>
        <item x="317"/>
        <item x="82"/>
        <item x="146"/>
        <item x="301"/>
        <item x="272"/>
        <item x="217"/>
        <item x="371"/>
        <item x="298"/>
        <item x="168"/>
        <item x="447"/>
        <item x="27"/>
        <item x="184"/>
        <item x="208"/>
        <item x="209"/>
        <item x="406"/>
        <item x="439"/>
        <item x="400"/>
        <item x="359"/>
        <item x="309"/>
        <item x="109"/>
        <item x="237"/>
        <item x="170"/>
        <item x="304"/>
        <item x="15"/>
        <item x="479"/>
        <item x="190"/>
        <item x="134"/>
        <item x="307"/>
        <item x="424"/>
        <item x="133"/>
        <item x="70"/>
        <item x="364"/>
        <item x="138"/>
        <item x="327"/>
        <item x="340"/>
        <item x="385"/>
        <item x="324"/>
        <item x="306"/>
        <item x="360"/>
        <item x="392"/>
        <item x="51"/>
        <item x="252"/>
        <item x="462"/>
        <item x="345"/>
        <item x="355"/>
        <item x="490"/>
        <item x="343"/>
        <item x="322"/>
        <item x="54"/>
        <item x="31"/>
        <item x="89"/>
        <item x="255"/>
        <item x="253"/>
        <item x="468"/>
        <item x="161"/>
        <item x="498"/>
        <item x="115"/>
        <item x="418"/>
        <item x="258"/>
        <item x="105"/>
        <item x="402"/>
        <item x="454"/>
        <item x="249"/>
        <item x="244"/>
        <item x="158"/>
        <item x="386"/>
        <item x="53"/>
        <item x="171"/>
        <item x="121"/>
        <item x="483"/>
        <item x="393"/>
        <item x="466"/>
        <item x="85"/>
        <item x="299"/>
        <item x="160"/>
        <item x="257"/>
        <item x="339"/>
        <item x="159"/>
        <item x="149"/>
        <item x="370"/>
        <item x="260"/>
        <item x="181"/>
        <item x="101"/>
        <item x="448"/>
        <item x="131"/>
        <item x="4"/>
        <item x="276"/>
        <item x="451"/>
        <item x="347"/>
        <item x="366"/>
        <item x="427"/>
        <item x="335"/>
        <item x="453"/>
        <item x="328"/>
        <item x="119"/>
        <item x="126"/>
        <item x="352"/>
        <item x="136"/>
        <item x="205"/>
        <item x="18"/>
        <item x="354"/>
        <item x="191"/>
        <item x="151"/>
        <item x="127"/>
        <item x="475"/>
        <item x="353"/>
        <item x="302"/>
        <item x="38"/>
        <item x="384"/>
        <item x="332"/>
        <item x="52"/>
        <item x="476"/>
        <item x="55"/>
        <item x="314"/>
        <item x="380"/>
        <item x="29"/>
        <item x="157"/>
        <item x="241"/>
        <item x="83"/>
        <item x="107"/>
        <item x="292"/>
        <item x="390"/>
        <item x="154"/>
        <item x="84"/>
        <item x="394"/>
        <item x="61"/>
        <item x="183"/>
        <item x="410"/>
        <item x="216"/>
        <item x="480"/>
        <item x="431"/>
        <item x="488"/>
        <item x="263"/>
        <item x="50"/>
        <item x="150"/>
        <item x="239"/>
        <item x="186"/>
        <item x="240"/>
        <item x="465"/>
        <item x="259"/>
        <item x="281"/>
        <item x="225"/>
        <item x="482"/>
        <item x="25"/>
        <item x="87"/>
        <item x="132"/>
        <item x="369"/>
        <item x="245"/>
        <item x="469"/>
        <item x="62"/>
        <item x="128"/>
        <item x="266"/>
        <item x="368"/>
        <item x="135"/>
        <item x="412"/>
        <item x="275"/>
        <item x="473"/>
        <item x="210"/>
        <item x="92"/>
        <item x="338"/>
        <item x="382"/>
        <item x="452"/>
        <item x="163"/>
        <item x="330"/>
        <item x="198"/>
        <item x="350"/>
        <item x="484"/>
        <item x="450"/>
        <item x="414"/>
        <item x="206"/>
        <item x="140"/>
        <item x="269"/>
        <item x="492"/>
        <item x="235"/>
        <item x="73"/>
        <item x="316"/>
        <item x="437"/>
        <item x="91"/>
        <item x="117"/>
        <item x="215"/>
        <item x="147"/>
        <item x="90"/>
        <item x="348"/>
        <item x="178"/>
        <item x="112"/>
        <item x="17"/>
        <item x="93"/>
        <item x="76"/>
        <item x="130"/>
        <item x="383"/>
        <item x="228"/>
        <item x="358"/>
        <item x="64"/>
        <item x="435"/>
        <item x="42"/>
        <item x="40"/>
        <item x="403"/>
        <item x="334"/>
        <item x="416"/>
        <item x="88"/>
        <item x="148"/>
        <item x="374"/>
        <item x="297"/>
        <item x="351"/>
        <item x="169"/>
        <item x="180"/>
        <item x="342"/>
        <item x="66"/>
        <item x="485"/>
        <item x="395"/>
        <item x="265"/>
        <item x="108"/>
        <item x="361"/>
        <item x="271"/>
        <item x="399"/>
        <item x="23"/>
        <item x="174"/>
        <item x="226"/>
        <item x="270"/>
        <item x="80"/>
        <item x="367"/>
        <item x="122"/>
        <item x="137"/>
        <item x="11"/>
        <item x="341"/>
        <item x="337"/>
        <item x="166"/>
        <item x="177"/>
        <item t="default"/>
      </items>
    </pivotField>
    <pivotField compact="0" numFmtId="3" showAll="0">
      <items count="501">
        <item x="313"/>
        <item x="269"/>
        <item x="401"/>
        <item x="99"/>
        <item x="492"/>
        <item x="272"/>
        <item x="215"/>
        <item x="167"/>
        <item x="163"/>
        <item x="121"/>
        <item x="362"/>
        <item x="243"/>
        <item x="213"/>
        <item x="8"/>
        <item x="294"/>
        <item x="189"/>
        <item x="319"/>
        <item x="386"/>
        <item x="11"/>
        <item x="76"/>
        <item x="482"/>
        <item x="426"/>
        <item x="186"/>
        <item x="212"/>
        <item x="459"/>
        <item x="150"/>
        <item x="371"/>
        <item x="346"/>
        <item x="216"/>
        <item x="96"/>
        <item x="139"/>
        <item x="181"/>
        <item x="15"/>
        <item x="473"/>
        <item x="233"/>
        <item x="48"/>
        <item x="353"/>
        <item x="284"/>
        <item x="126"/>
        <item x="464"/>
        <item x="405"/>
        <item x="490"/>
        <item x="7"/>
        <item x="49"/>
        <item x="1"/>
        <item x="236"/>
        <item x="244"/>
        <item x="407"/>
        <item x="472"/>
        <item x="286"/>
        <item x="117"/>
        <item x="234"/>
        <item x="123"/>
        <item x="348"/>
        <item x="454"/>
        <item x="273"/>
        <item x="495"/>
        <item x="336"/>
        <item x="389"/>
        <item x="316"/>
        <item x="338"/>
        <item x="289"/>
        <item x="498"/>
        <item x="422"/>
        <item x="366"/>
        <item x="12"/>
        <item x="175"/>
        <item x="32"/>
        <item x="30"/>
        <item x="396"/>
        <item x="242"/>
        <item x="276"/>
        <item x="278"/>
        <item x="144"/>
        <item x="416"/>
        <item x="152"/>
        <item x="253"/>
        <item x="283"/>
        <item x="469"/>
        <item x="180"/>
        <item x="6"/>
        <item x="462"/>
        <item x="71"/>
        <item x="437"/>
        <item x="494"/>
        <item x="29"/>
        <item x="232"/>
        <item x="474"/>
        <item x="267"/>
        <item x="39"/>
        <item x="340"/>
        <item x="260"/>
        <item x="471"/>
        <item x="322"/>
        <item x="169"/>
        <item x="64"/>
        <item x="191"/>
        <item x="420"/>
        <item x="14"/>
        <item x="328"/>
        <item x="365"/>
        <item x="143"/>
        <item x="154"/>
        <item x="133"/>
        <item x="52"/>
        <item x="263"/>
        <item x="285"/>
        <item x="239"/>
        <item x="36"/>
        <item x="55"/>
        <item x="61"/>
        <item x="235"/>
        <item x="308"/>
        <item x="128"/>
        <item x="57"/>
        <item x="28"/>
        <item x="145"/>
        <item x="83"/>
        <item x="357"/>
        <item x="194"/>
        <item x="91"/>
        <item x="329"/>
        <item x="417"/>
        <item x="485"/>
        <item x="440"/>
        <item x="227"/>
        <item x="321"/>
        <item x="192"/>
        <item x="361"/>
        <item x="74"/>
        <item x="38"/>
        <item x="158"/>
        <item x="318"/>
        <item x="248"/>
        <item x="84"/>
        <item x="375"/>
        <item x="224"/>
        <item x="457"/>
        <item x="393"/>
        <item x="3"/>
        <item x="403"/>
        <item x="228"/>
        <item x="178"/>
        <item x="282"/>
        <item x="415"/>
        <item x="306"/>
        <item x="75"/>
        <item x="68"/>
        <item x="427"/>
        <item x="317"/>
        <item x="201"/>
        <item x="165"/>
        <item x="452"/>
        <item x="453"/>
        <item x="447"/>
        <item x="86"/>
        <item x="314"/>
        <item x="113"/>
        <item x="356"/>
        <item x="225"/>
        <item x="296"/>
        <item x="488"/>
        <item x="279"/>
        <item x="47"/>
        <item x="203"/>
        <item x="468"/>
        <item x="288"/>
        <item x="54"/>
        <item x="430"/>
        <item x="93"/>
        <item x="484"/>
        <item x="43"/>
        <item x="252"/>
        <item x="77"/>
        <item x="342"/>
        <item x="141"/>
        <item x="171"/>
        <item x="277"/>
        <item x="246"/>
        <item x="326"/>
        <item x="351"/>
        <item x="369"/>
        <item x="73"/>
        <item x="497"/>
        <item x="418"/>
        <item x="442"/>
        <item x="254"/>
        <item x="204"/>
        <item x="237"/>
        <item x="465"/>
        <item x="168"/>
        <item x="327"/>
        <item x="78"/>
        <item x="298"/>
        <item x="460"/>
        <item x="429"/>
        <item x="226"/>
        <item x="332"/>
        <item x="53"/>
        <item x="358"/>
        <item x="290"/>
        <item x="190"/>
        <item x="487"/>
        <item x="219"/>
        <item x="18"/>
        <item x="446"/>
        <item x="179"/>
        <item x="2"/>
        <item x="412"/>
        <item x="206"/>
        <item x="35"/>
        <item x="45"/>
        <item x="37"/>
        <item x="176"/>
        <item x="325"/>
        <item x="157"/>
        <item x="410"/>
        <item x="333"/>
        <item x="481"/>
        <item x="378"/>
        <item x="95"/>
        <item x="335"/>
        <item x="458"/>
        <item x="24"/>
        <item x="385"/>
        <item x="449"/>
        <item x="370"/>
        <item x="480"/>
        <item x="305"/>
        <item x="211"/>
        <item x="409"/>
        <item x="160"/>
        <item x="388"/>
        <item x="255"/>
        <item x="161"/>
        <item x="104"/>
        <item x="0"/>
        <item x="441"/>
        <item x="97"/>
        <item x="257"/>
        <item x="59"/>
        <item x="195"/>
        <item x="79"/>
        <item x="182"/>
        <item x="337"/>
        <item x="119"/>
        <item x="281"/>
        <item x="368"/>
        <item x="382"/>
        <item x="310"/>
        <item x="90"/>
        <item x="13"/>
        <item x="159"/>
        <item x="264"/>
        <item x="461"/>
        <item x="5"/>
        <item x="200"/>
        <item x="112"/>
        <item x="146"/>
        <item x="367"/>
        <item x="400"/>
        <item x="20"/>
        <item x="271"/>
        <item x="177"/>
        <item x="411"/>
        <item x="98"/>
        <item x="127"/>
        <item x="166"/>
        <item x="147"/>
        <item x="377"/>
        <item x="66"/>
        <item x="184"/>
        <item x="421"/>
        <item x="303"/>
        <item x="349"/>
        <item x="372"/>
        <item x="218"/>
        <item x="183"/>
        <item x="89"/>
        <item x="23"/>
        <item x="111"/>
        <item x="428"/>
        <item x="230"/>
        <item x="106"/>
        <item x="19"/>
        <item x="359"/>
        <item x="295"/>
        <item x="343"/>
        <item x="63"/>
        <item x="172"/>
        <item x="438"/>
        <item x="245"/>
        <item x="62"/>
        <item x="137"/>
        <item x="208"/>
        <item x="92"/>
        <item x="404"/>
        <item x="82"/>
        <item x="70"/>
        <item x="470"/>
        <item x="22"/>
        <item x="222"/>
        <item x="131"/>
        <item x="125"/>
        <item x="81"/>
        <item x="499"/>
        <item x="390"/>
        <item x="251"/>
        <item x="198"/>
        <item x="85"/>
        <item x="320"/>
        <item x="435"/>
        <item x="249"/>
        <item x="466"/>
        <item x="174"/>
        <item x="432"/>
        <item x="419"/>
        <item x="27"/>
        <item x="132"/>
        <item x="443"/>
        <item x="60"/>
        <item x="394"/>
        <item x="26"/>
        <item x="108"/>
        <item x="376"/>
        <item x="287"/>
        <item x="58"/>
        <item x="34"/>
        <item x="100"/>
        <item x="486"/>
        <item x="110"/>
        <item x="266"/>
        <item x="451"/>
        <item x="196"/>
        <item x="399"/>
        <item x="229"/>
        <item x="120"/>
        <item x="408"/>
        <item x="450"/>
        <item x="142"/>
        <item x="118"/>
        <item x="330"/>
        <item x="476"/>
        <item x="197"/>
        <item x="483"/>
        <item x="103"/>
        <item x="424"/>
        <item x="496"/>
        <item x="297"/>
        <item x="364"/>
        <item x="88"/>
        <item x="344"/>
        <item x="149"/>
        <item x="202"/>
        <item x="315"/>
        <item x="31"/>
        <item x="265"/>
        <item x="238"/>
        <item x="56"/>
        <item x="87"/>
        <item x="193"/>
        <item x="270"/>
        <item x="324"/>
        <item x="21"/>
        <item x="258"/>
        <item x="44"/>
        <item x="241"/>
        <item x="312"/>
        <item x="205"/>
        <item x="339"/>
        <item x="493"/>
        <item x="187"/>
        <item x="240"/>
        <item x="402"/>
        <item x="413"/>
        <item x="50"/>
        <item x="436"/>
        <item x="156"/>
        <item x="292"/>
        <item x="148"/>
        <item x="67"/>
        <item x="94"/>
        <item x="124"/>
        <item x="301"/>
        <item x="136"/>
        <item x="363"/>
        <item x="380"/>
        <item x="395"/>
        <item x="491"/>
        <item x="122"/>
        <item x="334"/>
        <item x="262"/>
        <item x="489"/>
        <item x="188"/>
        <item x="217"/>
        <item x="135"/>
        <item x="185"/>
        <item x="151"/>
        <item x="51"/>
        <item x="42"/>
        <item x="384"/>
        <item x="352"/>
        <item x="479"/>
        <item x="280"/>
        <item x="199"/>
        <item x="304"/>
        <item x="114"/>
        <item x="331"/>
        <item x="383"/>
        <item x="448"/>
        <item x="302"/>
        <item x="72"/>
        <item x="162"/>
        <item x="444"/>
        <item x="138"/>
        <item x="433"/>
        <item x="46"/>
        <item x="309"/>
        <item x="475"/>
        <item x="102"/>
        <item x="391"/>
        <item x="105"/>
        <item x="414"/>
        <item x="360"/>
        <item x="17"/>
        <item x="40"/>
        <item x="214"/>
        <item x="107"/>
        <item x="275"/>
        <item x="231"/>
        <item x="247"/>
        <item x="434"/>
        <item x="423"/>
        <item x="41"/>
        <item x="307"/>
        <item x="398"/>
        <item x="431"/>
        <item x="65"/>
        <item x="381"/>
        <item x="155"/>
        <item x="478"/>
        <item x="116"/>
        <item x="374"/>
        <item x="373"/>
        <item x="323"/>
        <item x="9"/>
        <item x="220"/>
        <item x="379"/>
        <item x="109"/>
        <item x="16"/>
        <item x="445"/>
        <item x="392"/>
        <item x="25"/>
        <item x="153"/>
        <item x="80"/>
        <item x="425"/>
        <item x="355"/>
        <item x="207"/>
        <item x="33"/>
        <item x="101"/>
        <item x="439"/>
        <item x="261"/>
        <item x="4"/>
        <item x="173"/>
        <item x="210"/>
        <item x="69"/>
        <item x="274"/>
        <item x="293"/>
        <item x="300"/>
        <item x="455"/>
        <item x="347"/>
        <item x="406"/>
        <item x="256"/>
        <item x="397"/>
        <item x="170"/>
        <item x="463"/>
        <item x="354"/>
        <item x="456"/>
        <item x="345"/>
        <item x="259"/>
        <item x="10"/>
        <item x="209"/>
        <item x="291"/>
        <item x="299"/>
        <item x="134"/>
        <item x="350"/>
        <item x="115"/>
        <item x="268"/>
        <item x="341"/>
        <item x="387"/>
        <item x="130"/>
        <item x="250"/>
        <item x="221"/>
        <item x="311"/>
        <item x="164"/>
        <item x="467"/>
        <item x="140"/>
        <item x="223"/>
        <item x="129"/>
        <item x="477"/>
        <item t="default"/>
      </items>
    </pivotField>
    <pivotField compact="0" numFmtId="3" showAll="0">
      <items count="483">
        <item x="346"/>
        <item x="407"/>
        <item x="281"/>
        <item x="444"/>
        <item x="345"/>
        <item x="315"/>
        <item x="284"/>
        <item x="338"/>
        <item x="335"/>
        <item x="266"/>
        <item x="464"/>
        <item x="1"/>
        <item x="168"/>
        <item x="188"/>
        <item x="300"/>
        <item x="12"/>
        <item x="243"/>
        <item x="187"/>
        <item x="280"/>
        <item x="174"/>
        <item x="269"/>
        <item x="116"/>
        <item x="278"/>
        <item x="404"/>
        <item x="38"/>
        <item x="125"/>
        <item x="83"/>
        <item x="306"/>
        <item x="90"/>
        <item x="328"/>
        <item x="217"/>
        <item x="438"/>
        <item x="180"/>
        <item x="157"/>
        <item x="417"/>
        <item x="70"/>
        <item x="223"/>
        <item x="225"/>
        <item x="6"/>
        <item x="194"/>
        <item x="15"/>
        <item x="375"/>
        <item x="199"/>
        <item x="252"/>
        <item x="144"/>
        <item x="387"/>
        <item x="88"/>
        <item x="356"/>
        <item x="43"/>
        <item x="385"/>
        <item x="46"/>
        <item x="179"/>
        <item x="98"/>
        <item x="357"/>
        <item x="398"/>
        <item x="109"/>
        <item x="20"/>
        <item x="160"/>
        <item x="222"/>
        <item x="218"/>
        <item x="195"/>
        <item x="476"/>
        <item x="227"/>
        <item x="334"/>
        <item x="214"/>
        <item x="142"/>
        <item x="478"/>
        <item x="446"/>
        <item x="226"/>
        <item x="390"/>
        <item x="201"/>
        <item x="24"/>
        <item x="156"/>
        <item x="86"/>
        <item x="307"/>
        <item x="84"/>
        <item x="313"/>
        <item x="138"/>
        <item x="205"/>
        <item x="124"/>
        <item x="383"/>
        <item x="21"/>
        <item x="136"/>
        <item x="213"/>
        <item x="185"/>
        <item x="312"/>
        <item x="240"/>
        <item x="35"/>
        <item x="449"/>
        <item x="122"/>
        <item x="162"/>
        <item x="198"/>
        <item x="190"/>
        <item x="113"/>
        <item x="60"/>
        <item x="426"/>
        <item x="326"/>
        <item x="351"/>
        <item x="63"/>
        <item x="259"/>
        <item x="282"/>
        <item x="447"/>
        <item x="49"/>
        <item x="427"/>
        <item x="166"/>
        <item x="366"/>
        <item x="74"/>
        <item x="92"/>
        <item x="360"/>
        <item x="106"/>
        <item x="413"/>
        <item x="75"/>
        <item x="409"/>
        <item x="112"/>
        <item x="104"/>
        <item x="352"/>
        <item x="149"/>
        <item x="145"/>
        <item x="425"/>
        <item x="87"/>
        <item x="14"/>
        <item x="289"/>
        <item x="394"/>
        <item x="339"/>
        <item x="361"/>
        <item x="353"/>
        <item x="8"/>
        <item x="120"/>
        <item x="340"/>
        <item x="11"/>
        <item x="260"/>
        <item x="76"/>
        <item x="256"/>
        <item x="53"/>
        <item x="228"/>
        <item x="241"/>
        <item x="466"/>
        <item x="321"/>
        <item x="211"/>
        <item x="412"/>
        <item x="28"/>
        <item x="203"/>
        <item x="433"/>
        <item x="389"/>
        <item x="54"/>
        <item x="403"/>
        <item x="318"/>
        <item x="457"/>
        <item x="432"/>
        <item x="30"/>
        <item x="453"/>
        <item x="58"/>
        <item x="237"/>
        <item x="100"/>
        <item x="182"/>
        <item x="164"/>
        <item x="192"/>
        <item x="238"/>
        <item x="264"/>
        <item x="108"/>
        <item x="64"/>
        <item x="210"/>
        <item x="277"/>
        <item x="468"/>
        <item x="103"/>
        <item x="52"/>
        <item x="292"/>
        <item x="50"/>
        <item x="209"/>
        <item x="119"/>
        <item x="55"/>
        <item x="290"/>
        <item x="141"/>
        <item x="458"/>
        <item x="242"/>
        <item x="415"/>
        <item x="320"/>
        <item x="465"/>
        <item x="72"/>
        <item x="107"/>
        <item x="153"/>
        <item x="235"/>
        <item x="301"/>
        <item x="254"/>
        <item x="184"/>
        <item x="17"/>
        <item x="143"/>
        <item x="250"/>
        <item x="414"/>
        <item x="93"/>
        <item x="460"/>
        <item x="469"/>
        <item x="274"/>
        <item x="95"/>
        <item x="376"/>
        <item x="448"/>
        <item x="479"/>
        <item x="324"/>
        <item x="396"/>
        <item x="73"/>
        <item x="39"/>
        <item x="384"/>
        <item x="7"/>
        <item x="248"/>
        <item x="461"/>
        <item x="135"/>
        <item x="365"/>
        <item x="31"/>
        <item x="29"/>
        <item x="231"/>
        <item x="303"/>
        <item x="257"/>
        <item x="380"/>
        <item x="474"/>
        <item x="196"/>
        <item x="78"/>
        <item x="48"/>
        <item x="272"/>
        <item x="26"/>
        <item x="392"/>
        <item x="456"/>
        <item x="97"/>
        <item x="177"/>
        <item x="310"/>
        <item x="47"/>
        <item x="69"/>
        <item x="146"/>
        <item x="13"/>
        <item x="51"/>
        <item x="158"/>
        <item x="59"/>
        <item x="234"/>
        <item x="251"/>
        <item x="167"/>
        <item x="56"/>
        <item x="319"/>
        <item x="455"/>
        <item x="480"/>
        <item x="232"/>
        <item x="379"/>
        <item x="110"/>
        <item x="57"/>
        <item x="151"/>
        <item x="439"/>
        <item x="327"/>
        <item x="399"/>
        <item x="279"/>
        <item x="442"/>
        <item x="336"/>
        <item x="132"/>
        <item x="249"/>
        <item x="370"/>
        <item x="330"/>
        <item x="189"/>
        <item x="295"/>
        <item x="161"/>
        <item x="350"/>
        <item x="42"/>
        <item x="220"/>
        <item x="424"/>
        <item x="230"/>
        <item x="175"/>
        <item x="267"/>
        <item x="118"/>
        <item x="171"/>
        <item x="347"/>
        <item x="82"/>
        <item x="405"/>
        <item x="286"/>
        <item x="239"/>
        <item x="322"/>
        <item x="467"/>
        <item x="332"/>
        <item x="475"/>
        <item x="421"/>
        <item x="27"/>
        <item x="348"/>
        <item x="37"/>
        <item x="288"/>
        <item x="129"/>
        <item x="61"/>
        <item x="193"/>
        <item x="451"/>
        <item x="462"/>
        <item x="245"/>
        <item x="3"/>
        <item x="202"/>
        <item x="233"/>
        <item x="170"/>
        <item x="207"/>
        <item x="163"/>
        <item x="127"/>
        <item x="212"/>
        <item x="428"/>
        <item x="378"/>
        <item x="358"/>
        <item x="67"/>
        <item x="349"/>
        <item x="165"/>
        <item x="419"/>
        <item x="81"/>
        <item x="200"/>
        <item x="18"/>
        <item x="105"/>
        <item x="329"/>
        <item x="121"/>
        <item x="246"/>
        <item x="372"/>
        <item x="299"/>
        <item x="393"/>
        <item x="96"/>
        <item x="94"/>
        <item x="80"/>
        <item x="85"/>
        <item x="206"/>
        <item x="178"/>
        <item x="343"/>
        <item x="452"/>
        <item x="445"/>
        <item x="443"/>
        <item x="273"/>
        <item x="296"/>
        <item x="402"/>
        <item x="440"/>
        <item x="261"/>
        <item x="155"/>
        <item x="253"/>
        <item x="262"/>
        <item x="311"/>
        <item x="68"/>
        <item x="283"/>
        <item x="134"/>
        <item x="435"/>
        <item x="244"/>
        <item x="66"/>
        <item x="101"/>
        <item x="298"/>
        <item x="271"/>
        <item x="472"/>
        <item x="333"/>
        <item x="355"/>
        <item x="258"/>
        <item x="77"/>
        <item x="44"/>
        <item x="140"/>
        <item x="354"/>
        <item x="471"/>
        <item x="275"/>
        <item x="181"/>
        <item x="22"/>
        <item x="34"/>
        <item x="102"/>
        <item x="422"/>
        <item x="99"/>
        <item x="454"/>
        <item x="23"/>
        <item x="204"/>
        <item x="216"/>
        <item x="176"/>
        <item x="371"/>
        <item x="291"/>
        <item x="45"/>
        <item x="308"/>
        <item x="293"/>
        <item x="183"/>
        <item x="450"/>
        <item x="325"/>
        <item x="341"/>
        <item x="367"/>
        <item x="285"/>
        <item x="401"/>
        <item x="19"/>
        <item x="368"/>
        <item x="152"/>
        <item x="436"/>
        <item x="263"/>
        <item x="224"/>
        <item x="5"/>
        <item x="36"/>
        <item x="294"/>
        <item x="397"/>
        <item x="9"/>
        <item x="172"/>
        <item x="416"/>
        <item x="373"/>
        <item x="400"/>
        <item x="186"/>
        <item x="418"/>
        <item x="481"/>
        <item x="359"/>
        <item x="130"/>
        <item x="137"/>
        <item x="2"/>
        <item x="0"/>
        <item x="410"/>
        <item x="268"/>
        <item x="111"/>
        <item x="62"/>
        <item x="430"/>
        <item x="437"/>
        <item x="470"/>
        <item x="388"/>
        <item x="126"/>
        <item x="208"/>
        <item x="159"/>
        <item x="391"/>
        <item x="374"/>
        <item x="363"/>
        <item x="115"/>
        <item x="215"/>
        <item x="117"/>
        <item x="41"/>
        <item x="65"/>
        <item x="265"/>
        <item x="139"/>
        <item x="323"/>
        <item x="473"/>
        <item x="302"/>
        <item x="89"/>
        <item x="91"/>
        <item x="331"/>
        <item x="309"/>
        <item x="406"/>
        <item x="255"/>
        <item x="236"/>
        <item x="317"/>
        <item x="314"/>
        <item x="362"/>
        <item x="411"/>
        <item x="71"/>
        <item x="344"/>
        <item x="408"/>
        <item x="377"/>
        <item x="191"/>
        <item x="173"/>
        <item x="150"/>
        <item x="33"/>
        <item x="128"/>
        <item x="369"/>
        <item x="270"/>
        <item x="287"/>
        <item x="123"/>
        <item x="429"/>
        <item x="364"/>
        <item x="131"/>
        <item x="423"/>
        <item x="276"/>
        <item x="147"/>
        <item x="477"/>
        <item x="304"/>
        <item x="148"/>
        <item x="382"/>
        <item x="25"/>
        <item x="297"/>
        <item x="459"/>
        <item x="197"/>
        <item x="154"/>
        <item x="229"/>
        <item x="395"/>
        <item x="219"/>
        <item x="32"/>
        <item x="420"/>
        <item x="337"/>
        <item x="221"/>
        <item x="434"/>
        <item x="247"/>
        <item x="316"/>
        <item x="463"/>
        <item x="305"/>
        <item x="342"/>
        <item x="381"/>
        <item x="386"/>
        <item x="79"/>
        <item x="114"/>
        <item x="4"/>
        <item x="441"/>
        <item x="40"/>
        <item x="133"/>
        <item x="16"/>
        <item x="169"/>
        <item x="431"/>
        <item x="10"/>
        <item t="default"/>
      </items>
    </pivotField>
    <pivotField compact="0" numFmtId="3" showAll="0">
      <items count="352">
        <item x="48"/>
        <item x="311"/>
        <item x="231"/>
        <item x="134"/>
        <item x="13"/>
        <item x="189"/>
        <item x="138"/>
        <item x="120"/>
        <item x="275"/>
        <item x="254"/>
        <item x="276"/>
        <item x="9"/>
        <item x="14"/>
        <item x="37"/>
        <item x="1"/>
        <item x="24"/>
        <item x="81"/>
        <item x="338"/>
        <item x="88"/>
        <item x="35"/>
        <item x="262"/>
        <item x="285"/>
        <item x="67"/>
        <item x="113"/>
        <item x="333"/>
        <item x="145"/>
        <item x="252"/>
        <item x="147"/>
        <item x="85"/>
        <item x="22"/>
        <item x="122"/>
        <item x="186"/>
        <item x="43"/>
        <item x="330"/>
        <item x="156"/>
        <item x="327"/>
        <item x="219"/>
        <item x="142"/>
        <item x="278"/>
        <item x="305"/>
        <item x="173"/>
        <item x="221"/>
        <item x="248"/>
        <item x="126"/>
        <item x="168"/>
        <item x="232"/>
        <item x="137"/>
        <item x="202"/>
        <item x="118"/>
        <item x="79"/>
        <item x="205"/>
        <item x="199"/>
        <item x="19"/>
        <item x="273"/>
        <item x="132"/>
        <item x="150"/>
        <item x="230"/>
        <item x="12"/>
        <item x="347"/>
        <item x="242"/>
        <item x="52"/>
        <item x="233"/>
        <item x="176"/>
        <item x="78"/>
        <item x="334"/>
        <item x="267"/>
        <item x="42"/>
        <item x="329"/>
        <item x="110"/>
        <item x="15"/>
        <item x="11"/>
        <item x="91"/>
        <item x="310"/>
        <item x="131"/>
        <item x="128"/>
        <item x="127"/>
        <item x="256"/>
        <item x="100"/>
        <item x="72"/>
        <item x="188"/>
        <item x="349"/>
        <item x="161"/>
        <item x="159"/>
        <item x="106"/>
        <item x="160"/>
        <item x="66"/>
        <item x="255"/>
        <item x="178"/>
        <item x="171"/>
        <item x="158"/>
        <item x="59"/>
        <item x="235"/>
        <item x="195"/>
        <item x="213"/>
        <item x="172"/>
        <item x="250"/>
        <item x="83"/>
        <item x="269"/>
        <item x="332"/>
        <item x="146"/>
        <item x="264"/>
        <item x="40"/>
        <item x="182"/>
        <item x="153"/>
        <item x="107"/>
        <item x="209"/>
        <item x="117"/>
        <item x="281"/>
        <item x="229"/>
        <item x="237"/>
        <item x="36"/>
        <item x="51"/>
        <item x="27"/>
        <item x="191"/>
        <item x="325"/>
        <item x="238"/>
        <item x="30"/>
        <item x="206"/>
        <item x="62"/>
        <item x="104"/>
        <item x="157"/>
        <item x="39"/>
        <item x="190"/>
        <item x="6"/>
        <item x="197"/>
        <item x="277"/>
        <item x="125"/>
        <item x="82"/>
        <item x="139"/>
        <item x="187"/>
        <item x="177"/>
        <item x="63"/>
        <item x="115"/>
        <item x="46"/>
        <item x="284"/>
        <item x="50"/>
        <item x="23"/>
        <item x="93"/>
        <item x="164"/>
        <item x="298"/>
        <item x="116"/>
        <item x="184"/>
        <item x="143"/>
        <item x="74"/>
        <item x="111"/>
        <item x="92"/>
        <item x="253"/>
        <item x="20"/>
        <item x="318"/>
        <item x="306"/>
        <item x="295"/>
        <item x="7"/>
        <item x="223"/>
        <item x="179"/>
        <item x="96"/>
        <item x="45"/>
        <item x="239"/>
        <item x="154"/>
        <item x="345"/>
        <item x="224"/>
        <item x="323"/>
        <item x="21"/>
        <item x="350"/>
        <item x="249"/>
        <item x="53"/>
        <item x="192"/>
        <item x="69"/>
        <item x="8"/>
        <item x="57"/>
        <item x="71"/>
        <item x="301"/>
        <item x="49"/>
        <item x="29"/>
        <item x="3"/>
        <item x="226"/>
        <item x="344"/>
        <item x="245"/>
        <item x="101"/>
        <item x="98"/>
        <item x="17"/>
        <item x="194"/>
        <item x="270"/>
        <item x="307"/>
        <item x="263"/>
        <item x="167"/>
        <item x="200"/>
        <item x="251"/>
        <item x="217"/>
        <item x="151"/>
        <item x="165"/>
        <item x="319"/>
        <item x="317"/>
        <item x="212"/>
        <item x="87"/>
        <item x="265"/>
        <item x="240"/>
        <item x="271"/>
        <item x="214"/>
        <item x="119"/>
        <item x="257"/>
        <item x="103"/>
        <item x="56"/>
        <item x="339"/>
        <item x="31"/>
        <item x="216"/>
        <item x="326"/>
        <item x="55"/>
        <item x="102"/>
        <item x="207"/>
        <item x="236"/>
        <item x="175"/>
        <item x="316"/>
        <item x="208"/>
        <item x="54"/>
        <item x="86"/>
        <item x="287"/>
        <item x="259"/>
        <item x="109"/>
        <item x="341"/>
        <item x="80"/>
        <item x="163"/>
        <item x="4"/>
        <item x="90"/>
        <item x="211"/>
        <item x="193"/>
        <item x="346"/>
        <item x="170"/>
        <item x="304"/>
        <item x="288"/>
        <item x="76"/>
        <item x="174"/>
        <item x="32"/>
        <item x="258"/>
        <item x="135"/>
        <item x="312"/>
        <item x="44"/>
        <item x="293"/>
        <item x="290"/>
        <item x="291"/>
        <item x="99"/>
        <item x="246"/>
        <item x="260"/>
        <item x="114"/>
        <item x="70"/>
        <item x="201"/>
        <item x="26"/>
        <item x="234"/>
        <item x="348"/>
        <item x="47"/>
        <item x="343"/>
        <item x="183"/>
        <item x="28"/>
        <item x="112"/>
        <item x="204"/>
        <item x="300"/>
        <item x="272"/>
        <item x="58"/>
        <item x="133"/>
        <item x="121"/>
        <item x="141"/>
        <item x="198"/>
        <item x="321"/>
        <item x="97"/>
        <item x="225"/>
        <item x="335"/>
        <item x="222"/>
        <item x="95"/>
        <item x="299"/>
        <item x="60"/>
        <item x="38"/>
        <item x="296"/>
        <item x="279"/>
        <item x="140"/>
        <item x="289"/>
        <item x="144"/>
        <item x="18"/>
        <item x="340"/>
        <item x="308"/>
        <item x="261"/>
        <item x="149"/>
        <item x="283"/>
        <item x="322"/>
        <item x="162"/>
        <item x="215"/>
        <item x="94"/>
        <item x="68"/>
        <item x="266"/>
        <item x="64"/>
        <item x="247"/>
        <item x="77"/>
        <item x="336"/>
        <item x="210"/>
        <item x="324"/>
        <item x="130"/>
        <item x="342"/>
        <item x="227"/>
        <item x="108"/>
        <item x="89"/>
        <item x="169"/>
        <item x="294"/>
        <item x="309"/>
        <item x="65"/>
        <item x="84"/>
        <item x="274"/>
        <item x="268"/>
        <item x="34"/>
        <item x="73"/>
        <item x="241"/>
        <item x="10"/>
        <item x="218"/>
        <item x="320"/>
        <item x="185"/>
        <item x="155"/>
        <item x="75"/>
        <item x="5"/>
        <item x="181"/>
        <item x="302"/>
        <item x="286"/>
        <item x="152"/>
        <item x="124"/>
        <item x="196"/>
        <item x="203"/>
        <item x="314"/>
        <item x="61"/>
        <item x="297"/>
        <item x="220"/>
        <item x="105"/>
        <item x="180"/>
        <item x="292"/>
        <item x="2"/>
        <item x="244"/>
        <item x="337"/>
        <item x="313"/>
        <item x="0"/>
        <item x="280"/>
        <item x="328"/>
        <item x="123"/>
        <item x="166"/>
        <item x="303"/>
        <item x="129"/>
        <item x="148"/>
        <item x="315"/>
        <item x="243"/>
        <item x="228"/>
        <item x="331"/>
        <item x="282"/>
        <item x="41"/>
        <item x="16"/>
        <item x="25"/>
        <item x="33"/>
        <item x="136"/>
        <item t="default"/>
      </items>
    </pivotField>
    <pivotField compact="0" showAll="0">
      <items count="501">
        <item x="135"/>
        <item x="49"/>
        <item x="9"/>
        <item x="229"/>
        <item x="96"/>
        <item x="125"/>
        <item x="253"/>
        <item x="331"/>
        <item x="1"/>
        <item x="394"/>
        <item x="14"/>
        <item x="190"/>
        <item x="242"/>
        <item x="69"/>
        <item x="13"/>
        <item x="22"/>
        <item x="321"/>
        <item x="360"/>
        <item x="418"/>
        <item x="153"/>
        <item x="430"/>
        <item x="183"/>
        <item x="361"/>
        <item x="366"/>
        <item x="416"/>
        <item x="283"/>
        <item x="272"/>
        <item x="156"/>
        <item x="179"/>
        <item x="93"/>
        <item x="270"/>
        <item x="269"/>
        <item x="144"/>
        <item x="476"/>
        <item x="437"/>
        <item x="312"/>
        <item x="87"/>
        <item x="420"/>
        <item x="188"/>
        <item x="436"/>
        <item x="157"/>
        <item x="291"/>
        <item x="336"/>
        <item x="284"/>
        <item x="318"/>
        <item x="94"/>
        <item x="24"/>
        <item x="42"/>
        <item x="224"/>
        <item x="448"/>
        <item x="37"/>
        <item x="91"/>
        <item x="286"/>
        <item x="303"/>
        <item x="463"/>
        <item x="35"/>
        <item x="376"/>
        <item x="257"/>
        <item x="497"/>
        <item x="110"/>
        <item x="185"/>
        <item x="349"/>
        <item x="396"/>
        <item x="166"/>
        <item x="409"/>
        <item x="450"/>
        <item x="54"/>
        <item x="99"/>
        <item x="220"/>
        <item x="169"/>
        <item x="208"/>
        <item x="84"/>
        <item x="481"/>
        <item x="71"/>
        <item x="466"/>
        <item x="19"/>
        <item x="122"/>
        <item x="139"/>
        <item x="246"/>
        <item x="168"/>
        <item x="460"/>
        <item x="146"/>
        <item x="212"/>
        <item x="458"/>
        <item x="374"/>
        <item x="296"/>
        <item x="68"/>
        <item x="417"/>
        <item x="354"/>
        <item x="180"/>
        <item x="165"/>
        <item x="325"/>
        <item x="452"/>
        <item x="415"/>
        <item x="342"/>
        <item x="478"/>
        <item x="444"/>
        <item x="310"/>
        <item x="351"/>
        <item x="151"/>
        <item x="455"/>
        <item x="287"/>
        <item x="282"/>
        <item x="44"/>
        <item x="206"/>
        <item x="480"/>
        <item x="249"/>
        <item x="27"/>
        <item x="161"/>
        <item x="203"/>
        <item x="147"/>
        <item x="85"/>
        <item x="462"/>
        <item x="494"/>
        <item x="132"/>
        <item x="150"/>
        <item x="273"/>
        <item x="117"/>
        <item x="240"/>
        <item x="260"/>
        <item x="333"/>
        <item x="15"/>
        <item x="53"/>
        <item x="12"/>
        <item x="187"/>
        <item x="189"/>
        <item x="232"/>
        <item x="158"/>
        <item x="400"/>
        <item x="196"/>
        <item x="243"/>
        <item x="123"/>
        <item x="89"/>
        <item x="77"/>
        <item x="43"/>
        <item x="126"/>
        <item x="175"/>
        <item x="492"/>
        <item x="192"/>
        <item x="52"/>
        <item x="289"/>
        <item x="40"/>
        <item x="227"/>
        <item x="314"/>
        <item x="228"/>
        <item x="365"/>
        <item x="344"/>
        <item x="237"/>
        <item x="446"/>
        <item x="370"/>
        <item x="429"/>
        <item x="116"/>
        <item x="36"/>
        <item x="301"/>
        <item x="194"/>
        <item x="216"/>
        <item x="172"/>
        <item x="364"/>
        <item x="128"/>
        <item x="182"/>
        <item x="226"/>
        <item x="353"/>
        <item x="214"/>
        <item x="414"/>
        <item x="207"/>
        <item x="233"/>
        <item x="356"/>
        <item x="322"/>
        <item x="359"/>
        <item x="11"/>
        <item x="261"/>
        <item x="234"/>
        <item x="343"/>
        <item x="426"/>
        <item x="23"/>
        <item x="79"/>
        <item x="281"/>
        <item x="464"/>
        <item x="222"/>
        <item x="64"/>
        <item x="338"/>
        <item x="145"/>
        <item x="181"/>
        <item x="111"/>
        <item x="51"/>
        <item x="346"/>
        <item x="305"/>
        <item x="186"/>
        <item x="469"/>
        <item x="184"/>
        <item x="358"/>
        <item x="114"/>
        <item x="410"/>
        <item x="215"/>
        <item x="316"/>
        <item x="213"/>
        <item x="290"/>
        <item x="61"/>
        <item x="47"/>
        <item x="59"/>
        <item x="459"/>
        <item x="285"/>
        <item x="219"/>
        <item x="323"/>
        <item x="80"/>
        <item x="50"/>
        <item x="439"/>
        <item x="295"/>
        <item x="55"/>
        <item x="371"/>
        <item x="324"/>
        <item x="262"/>
        <item x="427"/>
        <item x="225"/>
        <item x="389"/>
        <item x="276"/>
        <item x="461"/>
        <item x="347"/>
        <item x="393"/>
        <item x="197"/>
        <item x="8"/>
        <item x="428"/>
        <item x="292"/>
        <item x="441"/>
        <item x="254"/>
        <item x="130"/>
        <item x="375"/>
        <item x="201"/>
        <item x="39"/>
        <item x="337"/>
        <item x="320"/>
        <item x="275"/>
        <item x="484"/>
        <item x="293"/>
        <item x="7"/>
        <item x="202"/>
        <item x="200"/>
        <item x="482"/>
        <item x="231"/>
        <item x="385"/>
        <item x="6"/>
        <item x="167"/>
        <item x="369"/>
        <item x="327"/>
        <item x="363"/>
        <item x="348"/>
        <item x="297"/>
        <item x="335"/>
        <item x="496"/>
        <item x="209"/>
        <item x="32"/>
        <item x="308"/>
        <item x="404"/>
        <item x="473"/>
        <item x="30"/>
        <item x="255"/>
        <item x="449"/>
        <item x="133"/>
        <item x="355"/>
        <item x="294"/>
        <item x="100"/>
        <item x="339"/>
        <item x="195"/>
        <item x="251"/>
        <item x="137"/>
        <item x="105"/>
        <item x="131"/>
        <item x="75"/>
        <item x="88"/>
        <item x="143"/>
        <item x="57"/>
        <item x="163"/>
        <item x="453"/>
        <item x="298"/>
        <item x="387"/>
        <item x="411"/>
        <item x="4"/>
        <item x="244"/>
        <item x="107"/>
        <item x="21"/>
        <item x="29"/>
        <item x="315"/>
        <item x="134"/>
        <item x="328"/>
        <item x="173"/>
        <item x="313"/>
        <item x="124"/>
        <item x="129"/>
        <item x="258"/>
        <item x="457"/>
        <item x="73"/>
        <item x="152"/>
        <item x="319"/>
        <item x="493"/>
        <item x="65"/>
        <item x="334"/>
        <item x="422"/>
        <item x="205"/>
        <item x="288"/>
        <item x="488"/>
        <item x="403"/>
        <item x="108"/>
        <item x="495"/>
        <item x="20"/>
        <item x="221"/>
        <item x="399"/>
        <item x="70"/>
        <item x="121"/>
        <item x="104"/>
        <item x="300"/>
        <item x="109"/>
        <item x="103"/>
        <item x="176"/>
        <item x="113"/>
        <item x="171"/>
        <item x="309"/>
        <item x="390"/>
        <item x="101"/>
        <item x="211"/>
        <item x="264"/>
        <item x="95"/>
        <item x="431"/>
        <item x="112"/>
        <item x="499"/>
        <item x="267"/>
        <item x="31"/>
        <item x="398"/>
        <item x="74"/>
        <item x="326"/>
        <item x="142"/>
        <item x="401"/>
        <item x="490"/>
        <item x="440"/>
        <item x="76"/>
        <item x="18"/>
        <item x="277"/>
        <item x="263"/>
        <item x="432"/>
        <item x="230"/>
        <item x="405"/>
        <item x="239"/>
        <item x="46"/>
        <item x="259"/>
        <item x="198"/>
        <item x="395"/>
        <item x="265"/>
        <item x="489"/>
        <item x="118"/>
        <item x="236"/>
        <item x="434"/>
        <item x="479"/>
        <item x="306"/>
        <item x="477"/>
        <item x="149"/>
        <item x="120"/>
        <item x="138"/>
        <item x="278"/>
        <item x="58"/>
        <item x="357"/>
        <item x="256"/>
        <item x="136"/>
        <item x="465"/>
        <item x="472"/>
        <item x="162"/>
        <item x="17"/>
        <item x="210"/>
        <item x="86"/>
        <item x="3"/>
        <item x="178"/>
        <item x="56"/>
        <item x="408"/>
        <item x="447"/>
        <item x="266"/>
        <item x="92"/>
        <item x="304"/>
        <item x="248"/>
        <item x="317"/>
        <item x="332"/>
        <item x="491"/>
        <item x="419"/>
        <item x="10"/>
        <item x="340"/>
        <item x="470"/>
        <item x="330"/>
        <item x="468"/>
        <item x="350"/>
        <item x="299"/>
        <item x="485"/>
        <item x="380"/>
        <item x="98"/>
        <item x="352"/>
        <item x="119"/>
        <item x="252"/>
        <item x="160"/>
        <item x="378"/>
        <item x="311"/>
        <item x="235"/>
        <item x="45"/>
        <item x="48"/>
        <item x="474"/>
        <item x="425"/>
        <item x="362"/>
        <item x="379"/>
        <item x="487"/>
        <item x="106"/>
        <item x="115"/>
        <item x="386"/>
        <item x="164"/>
        <item x="274"/>
        <item x="383"/>
        <item x="83"/>
        <item x="382"/>
        <item x="329"/>
        <item x="28"/>
        <item x="62"/>
        <item x="407"/>
        <item x="159"/>
        <item x="97"/>
        <item x="245"/>
        <item x="391"/>
        <item x="82"/>
        <item x="127"/>
        <item x="486"/>
        <item x="154"/>
        <item x="341"/>
        <item x="78"/>
        <item x="26"/>
        <item x="438"/>
        <item x="397"/>
        <item x="377"/>
        <item x="421"/>
        <item x="199"/>
        <item x="498"/>
        <item x="483"/>
        <item x="402"/>
        <item x="218"/>
        <item x="191"/>
        <item x="435"/>
        <item x="140"/>
        <item x="241"/>
        <item x="60"/>
        <item x="72"/>
        <item x="443"/>
        <item x="66"/>
        <item x="38"/>
        <item x="454"/>
        <item x="279"/>
        <item x="442"/>
        <item x="467"/>
        <item x="102"/>
        <item x="381"/>
        <item x="367"/>
        <item x="471"/>
        <item x="177"/>
        <item x="5"/>
        <item x="412"/>
        <item x="373"/>
        <item x="280"/>
        <item x="247"/>
        <item x="193"/>
        <item x="141"/>
        <item x="413"/>
        <item x="302"/>
        <item x="25"/>
        <item x="388"/>
        <item x="345"/>
        <item x="204"/>
        <item x="368"/>
        <item x="271"/>
        <item x="250"/>
        <item x="90"/>
        <item x="372"/>
        <item x="67"/>
        <item x="34"/>
        <item x="384"/>
        <item x="2"/>
        <item x="223"/>
        <item x="268"/>
        <item x="433"/>
        <item x="424"/>
        <item x="174"/>
        <item x="392"/>
        <item x="238"/>
        <item x="81"/>
        <item x="217"/>
        <item x="423"/>
        <item x="63"/>
        <item x="445"/>
        <item x="0"/>
        <item x="41"/>
        <item x="307"/>
        <item x="451"/>
        <item x="475"/>
        <item x="406"/>
        <item x="170"/>
        <item x="148"/>
        <item x="33"/>
        <item x="456"/>
        <item x="16"/>
        <item x="155"/>
        <item t="default"/>
      </items>
    </pivotField>
    <pivotField compact="0" showAll="0">
      <items count="501">
        <item x="354"/>
        <item x="188"/>
        <item x="398"/>
        <item x="312"/>
        <item x="220"/>
        <item x="343"/>
        <item x="44"/>
        <item x="196"/>
        <item x="310"/>
        <item x="207"/>
        <item x="480"/>
        <item x="305"/>
        <item x="110"/>
        <item x="197"/>
        <item x="229"/>
        <item x="89"/>
        <item x="87"/>
        <item x="246"/>
        <item x="360"/>
        <item x="347"/>
        <item x="439"/>
        <item x="114"/>
        <item x="21"/>
        <item x="219"/>
        <item x="259"/>
        <item x="107"/>
        <item x="334"/>
        <item x="20"/>
        <item x="255"/>
        <item x="105"/>
        <item x="262"/>
        <item x="385"/>
        <item x="85"/>
        <item x="425"/>
        <item x="409"/>
        <item x="50"/>
        <item x="161"/>
        <item x="125"/>
        <item x="461"/>
        <item x="430"/>
        <item x="101"/>
        <item x="137"/>
        <item x="109"/>
        <item x="282"/>
        <item x="414"/>
        <item x="452"/>
        <item x="287"/>
        <item x="225"/>
        <item x="65"/>
        <item x="88"/>
        <item x="420"/>
        <item x="376"/>
        <item x="24"/>
        <item x="157"/>
        <item x="463"/>
        <item x="84"/>
        <item x="477"/>
        <item x="47"/>
        <item x="205"/>
        <item x="201"/>
        <item x="322"/>
        <item x="51"/>
        <item x="200"/>
        <item x="342"/>
        <item x="17"/>
        <item x="158"/>
        <item x="169"/>
        <item x="91"/>
        <item x="240"/>
        <item x="31"/>
        <item x="285"/>
        <item x="40"/>
        <item x="185"/>
        <item x="227"/>
        <item x="289"/>
        <item x="286"/>
        <item x="331"/>
        <item x="203"/>
        <item x="56"/>
        <item x="146"/>
        <item x="297"/>
        <item x="94"/>
        <item x="12"/>
        <item x="39"/>
        <item x="441"/>
        <item x="230"/>
        <item x="120"/>
        <item x="142"/>
        <item x="224"/>
        <item x="175"/>
        <item x="145"/>
        <item x="416"/>
        <item x="370"/>
        <item x="228"/>
        <item x="1"/>
        <item x="136"/>
        <item x="353"/>
        <item x="300"/>
        <item x="108"/>
        <item x="476"/>
        <item x="400"/>
        <item x="321"/>
        <item x="183"/>
        <item x="496"/>
        <item x="71"/>
        <item x="358"/>
        <item x="117"/>
        <item x="365"/>
        <item x="291"/>
        <item x="417"/>
        <item x="6"/>
        <item x="295"/>
        <item x="245"/>
        <item x="336"/>
        <item x="130"/>
        <item x="355"/>
        <item x="284"/>
        <item x="428"/>
        <item x="459"/>
        <item x="346"/>
        <item x="394"/>
        <item x="293"/>
        <item x="393"/>
        <item x="93"/>
        <item x="59"/>
        <item x="162"/>
        <item x="209"/>
        <item x="164"/>
        <item x="281"/>
        <item x="180"/>
        <item x="126"/>
        <item x="251"/>
        <item x="143"/>
        <item x="434"/>
        <item x="325"/>
        <item x="380"/>
        <item x="478"/>
        <item x="396"/>
        <item x="318"/>
        <item x="26"/>
        <item x="104"/>
        <item x="113"/>
        <item x="446"/>
        <item x="390"/>
        <item x="189"/>
        <item x="198"/>
        <item x="366"/>
        <item x="211"/>
        <item x="395"/>
        <item x="75"/>
        <item x="77"/>
        <item x="60"/>
        <item x="333"/>
        <item x="54"/>
        <item x="344"/>
        <item x="257"/>
        <item x="181"/>
        <item x="491"/>
        <item x="58"/>
        <item x="214"/>
        <item x="70"/>
        <item x="269"/>
        <item x="192"/>
        <item x="53"/>
        <item x="270"/>
        <item x="481"/>
        <item x="241"/>
        <item x="440"/>
        <item x="272"/>
        <item x="455"/>
        <item x="15"/>
        <item x="256"/>
        <item x="36"/>
        <item x="327"/>
        <item x="69"/>
        <item x="467"/>
        <item x="98"/>
        <item x="341"/>
        <item x="147"/>
        <item x="447"/>
        <item x="495"/>
        <item x="61"/>
        <item x="237"/>
        <item x="484"/>
        <item x="111"/>
        <item x="483"/>
        <item x="361"/>
        <item x="79"/>
        <item x="73"/>
        <item x="273"/>
        <item x="304"/>
        <item x="261"/>
        <item x="369"/>
        <item x="13"/>
        <item x="159"/>
        <item x="222"/>
        <item x="122"/>
        <item x="247"/>
        <item x="165"/>
        <item x="438"/>
        <item x="359"/>
        <item x="172"/>
        <item x="275"/>
        <item x="64"/>
        <item x="102"/>
        <item x="466"/>
        <item x="202"/>
        <item x="299"/>
        <item x="381"/>
        <item x="216"/>
        <item x="135"/>
        <item x="301"/>
        <item x="153"/>
        <item x="62"/>
        <item x="497"/>
        <item x="173"/>
        <item x="462"/>
        <item x="156"/>
        <item x="413"/>
        <item x="14"/>
        <item x="46"/>
        <item x="306"/>
        <item x="67"/>
        <item x="123"/>
        <item x="9"/>
        <item x="99"/>
        <item x="427"/>
        <item x="432"/>
        <item x="119"/>
        <item x="335"/>
        <item x="263"/>
        <item x="363"/>
        <item x="410"/>
        <item x="265"/>
        <item x="168"/>
        <item x="254"/>
        <item x="55"/>
        <item x="249"/>
        <item x="464"/>
        <item x="194"/>
        <item x="242"/>
        <item x="492"/>
        <item x="82"/>
        <item x="139"/>
        <item x="431"/>
        <item x="328"/>
        <item x="422"/>
        <item x="326"/>
        <item x="437"/>
        <item x="453"/>
        <item x="190"/>
        <item x="404"/>
        <item x="176"/>
        <item x="383"/>
        <item x="364"/>
        <item x="106"/>
        <item x="81"/>
        <item x="140"/>
        <item x="195"/>
        <item x="239"/>
        <item x="210"/>
        <item x="268"/>
        <item x="138"/>
        <item x="29"/>
        <item x="423"/>
        <item x="166"/>
        <item x="367"/>
        <item x="208"/>
        <item x="319"/>
        <item x="103"/>
        <item x="485"/>
        <item x="373"/>
        <item x="116"/>
        <item x="401"/>
        <item x="186"/>
        <item x="74"/>
        <item x="494"/>
        <item x="375"/>
        <item x="252"/>
        <item x="100"/>
        <item x="403"/>
        <item x="444"/>
        <item x="267"/>
        <item x="387"/>
        <item x="469"/>
        <item x="418"/>
        <item x="178"/>
        <item x="348"/>
        <item x="337"/>
        <item x="382"/>
        <item x="43"/>
        <item x="405"/>
        <item x="388"/>
        <item x="187"/>
        <item x="243"/>
        <item x="435"/>
        <item x="415"/>
        <item x="215"/>
        <item x="307"/>
        <item x="313"/>
        <item x="154"/>
        <item x="450"/>
        <item x="22"/>
        <item x="129"/>
        <item x="474"/>
        <item x="266"/>
        <item x="244"/>
        <item x="264"/>
        <item x="97"/>
        <item x="470"/>
        <item x="384"/>
        <item x="408"/>
        <item x="163"/>
        <item x="204"/>
        <item x="303"/>
        <item x="42"/>
        <item x="217"/>
        <item x="23"/>
        <item x="18"/>
        <item x="218"/>
        <item x="274"/>
        <item x="442"/>
        <item x="489"/>
        <item x="308"/>
        <item x="95"/>
        <item x="171"/>
        <item x="426"/>
        <item x="457"/>
        <item x="19"/>
        <item x="402"/>
        <item x="379"/>
        <item x="150"/>
        <item x="76"/>
        <item x="72"/>
        <item x="349"/>
        <item x="184"/>
        <item x="356"/>
        <item x="253"/>
        <item x="458"/>
        <item x="177"/>
        <item x="144"/>
        <item x="352"/>
        <item x="377"/>
        <item x="179"/>
        <item x="371"/>
        <item x="167"/>
        <item x="499"/>
        <item x="27"/>
        <item x="182"/>
        <item x="399"/>
        <item x="449"/>
        <item x="451"/>
        <item x="131"/>
        <item x="339"/>
        <item x="278"/>
        <item x="486"/>
        <item x="374"/>
        <item x="57"/>
        <item x="460"/>
        <item x="294"/>
        <item x="260"/>
        <item x="473"/>
        <item x="258"/>
        <item x="221"/>
        <item x="324"/>
        <item x="392"/>
        <item x="315"/>
        <item x="8"/>
        <item x="52"/>
        <item x="118"/>
        <item x="238"/>
        <item x="11"/>
        <item x="362"/>
        <item x="5"/>
        <item x="151"/>
        <item x="223"/>
        <item x="406"/>
        <item x="330"/>
        <item x="351"/>
        <item x="121"/>
        <item x="25"/>
        <item x="191"/>
        <item x="45"/>
        <item x="482"/>
        <item x="345"/>
        <item x="411"/>
        <item x="277"/>
        <item x="309"/>
        <item x="63"/>
        <item x="250"/>
        <item x="32"/>
        <item x="3"/>
        <item x="35"/>
        <item x="30"/>
        <item x="487"/>
        <item x="33"/>
        <item x="424"/>
        <item x="68"/>
        <item x="193"/>
        <item x="78"/>
        <item x="280"/>
        <item x="206"/>
        <item x="407"/>
        <item x="213"/>
        <item x="155"/>
        <item x="468"/>
        <item x="471"/>
        <item x="276"/>
        <item x="368"/>
        <item x="38"/>
        <item x="419"/>
        <item x="311"/>
        <item x="231"/>
        <item x="124"/>
        <item x="329"/>
        <item x="292"/>
        <item x="475"/>
        <item x="83"/>
        <item x="248"/>
        <item x="133"/>
        <item x="412"/>
        <item x="271"/>
        <item x="350"/>
        <item x="298"/>
        <item x="112"/>
        <item x="378"/>
        <item x="288"/>
        <item x="332"/>
        <item x="302"/>
        <item x="86"/>
        <item x="290"/>
        <item x="212"/>
        <item x="7"/>
        <item x="92"/>
        <item x="323"/>
        <item x="465"/>
        <item x="148"/>
        <item x="436"/>
        <item x="316"/>
        <item x="199"/>
        <item x="320"/>
        <item x="115"/>
        <item x="397"/>
        <item x="37"/>
        <item x="28"/>
        <item x="127"/>
        <item x="141"/>
        <item x="433"/>
        <item x="152"/>
        <item x="456"/>
        <item x="493"/>
        <item x="66"/>
        <item x="226"/>
        <item x="490"/>
        <item x="0"/>
        <item x="80"/>
        <item x="472"/>
        <item x="283"/>
        <item x="174"/>
        <item x="49"/>
        <item x="4"/>
        <item x="498"/>
        <item x="448"/>
        <item x="488"/>
        <item x="34"/>
        <item x="134"/>
        <item x="429"/>
        <item x="389"/>
        <item x="317"/>
        <item x="96"/>
        <item x="232"/>
        <item x="279"/>
        <item x="2"/>
        <item x="170"/>
        <item x="235"/>
        <item x="372"/>
        <item x="233"/>
        <item x="149"/>
        <item x="236"/>
        <item x="90"/>
        <item x="357"/>
        <item x="340"/>
        <item x="128"/>
        <item x="296"/>
        <item x="234"/>
        <item x="443"/>
        <item x="454"/>
        <item x="479"/>
        <item x="16"/>
        <item x="391"/>
        <item x="314"/>
        <item x="338"/>
        <item x="421"/>
        <item x="160"/>
        <item x="41"/>
        <item x="132"/>
        <item x="445"/>
        <item x="48"/>
        <item x="386"/>
        <item x="10"/>
        <item t="default"/>
      </items>
    </pivotField>
    <pivotField compact="0" showAll="0">
      <items count="501">
        <item x="41"/>
        <item x="33"/>
        <item x="456"/>
        <item x="315"/>
        <item x="280"/>
        <item x="199"/>
        <item x="221"/>
        <item x="250"/>
        <item x="231"/>
        <item x="124"/>
        <item x="223"/>
        <item x="387"/>
        <item x="391"/>
        <item x="320"/>
        <item x="118"/>
        <item x="411"/>
        <item x="372"/>
        <item x="153"/>
        <item x="10"/>
        <item x="129"/>
        <item x="16"/>
        <item x="155"/>
        <item x="296"/>
        <item x="311"/>
        <item x="2"/>
        <item x="67"/>
        <item x="100"/>
        <item x="193"/>
        <item x="349"/>
        <item x="63"/>
        <item x="445"/>
        <item x="373"/>
        <item x="274"/>
        <item x="187"/>
        <item x="19"/>
        <item x="95"/>
        <item x="34"/>
        <item x="467"/>
        <item x="170"/>
        <item x="397"/>
        <item x="5"/>
        <item x="134"/>
        <item x="173"/>
        <item x="323"/>
        <item x="421"/>
        <item x="470"/>
        <item x="436"/>
        <item x="486"/>
        <item x="182"/>
        <item x="433"/>
        <item x="97"/>
        <item x="479"/>
        <item x="115"/>
        <item x="72"/>
        <item x="429"/>
        <item x="419"/>
        <item x="162"/>
        <item x="478"/>
        <item x="432"/>
        <item x="4"/>
        <item x="406"/>
        <item x="37"/>
        <item x="493"/>
        <item x="106"/>
        <item x="460"/>
        <item x="22"/>
        <item x="434"/>
        <item x="444"/>
        <item x="443"/>
        <item x="379"/>
        <item x="345"/>
        <item x="152"/>
        <item x="472"/>
        <item x="455"/>
        <item x="423"/>
        <item x="35"/>
        <item x="309"/>
        <item x="357"/>
        <item x="57"/>
        <item x="116"/>
        <item x="392"/>
        <item x="238"/>
        <item x="448"/>
        <item x="78"/>
        <item x="103"/>
        <item x="111"/>
        <item x="261"/>
        <item x="202"/>
        <item x="290"/>
        <item x="268"/>
        <item x="149"/>
        <item x="214"/>
        <item x="471"/>
        <item x="489"/>
        <item x="350"/>
        <item x="475"/>
        <item x="404"/>
        <item x="179"/>
        <item x="176"/>
        <item x="195"/>
        <item x="302"/>
        <item x="413"/>
        <item x="218"/>
        <item x="81"/>
        <item x="300"/>
        <item x="79"/>
        <item x="293"/>
        <item x="363"/>
        <item x="499"/>
        <item x="45"/>
        <item x="424"/>
        <item x="164"/>
        <item x="377"/>
        <item x="388"/>
        <item x="474"/>
        <item x="0"/>
        <item x="25"/>
        <item x="217"/>
        <item x="442"/>
        <item x="307"/>
        <item x="156"/>
        <item x="141"/>
        <item x="324"/>
        <item x="408"/>
        <item x="292"/>
        <item x="279"/>
        <item x="458"/>
        <item x="151"/>
        <item x="344"/>
        <item x="247"/>
        <item x="222"/>
        <item x="132"/>
        <item x="258"/>
        <item x="277"/>
        <item x="27"/>
        <item x="352"/>
        <item x="446"/>
        <item x="74"/>
        <item x="80"/>
        <item x="303"/>
        <item x="98"/>
        <item x="339"/>
        <item x="294"/>
        <item x="402"/>
        <item x="9"/>
        <item x="7"/>
        <item x="288"/>
        <item x="46"/>
        <item x="378"/>
        <item x="381"/>
        <item x="28"/>
        <item x="160"/>
        <item x="56"/>
        <item x="256"/>
        <item x="138"/>
        <item x="102"/>
        <item x="148"/>
        <item x="248"/>
        <item x="374"/>
        <item x="356"/>
        <item x="291"/>
        <item x="48"/>
        <item x="127"/>
        <item x="451"/>
        <item x="487"/>
        <item x="30"/>
        <item x="384"/>
        <item x="457"/>
        <item x="86"/>
        <item x="449"/>
        <item x="407"/>
        <item x="298"/>
        <item x="69"/>
        <item x="184"/>
        <item x="104"/>
        <item x="92"/>
        <item x="234"/>
        <item x="232"/>
        <item x="131"/>
        <item x="425"/>
        <item x="330"/>
        <item x="299"/>
        <item x="491"/>
        <item x="60"/>
        <item x="317"/>
        <item x="68"/>
        <item x="210"/>
        <item x="329"/>
        <item x="264"/>
        <item x="140"/>
        <item x="90"/>
        <item x="364"/>
        <item x="301"/>
        <item x="236"/>
        <item x="431"/>
        <item x="26"/>
        <item x="254"/>
        <item x="42"/>
        <item x="174"/>
        <item x="208"/>
        <item x="123"/>
        <item x="251"/>
        <item x="368"/>
        <item x="204"/>
        <item x="66"/>
        <item x="82"/>
        <item x="332"/>
        <item x="267"/>
        <item x="112"/>
        <item x="304"/>
        <item x="389"/>
        <item x="314"/>
        <item x="308"/>
        <item x="13"/>
        <item x="14"/>
        <item x="319"/>
        <item x="497"/>
        <item x="266"/>
        <item x="468"/>
        <item x="172"/>
        <item x="465"/>
        <item x="295"/>
        <item x="3"/>
        <item x="113"/>
        <item x="412"/>
        <item x="209"/>
        <item x="94"/>
        <item x="450"/>
        <item x="399"/>
        <item x="383"/>
        <item x="488"/>
        <item x="249"/>
        <item x="405"/>
        <item x="438"/>
        <item x="43"/>
        <item x="283"/>
        <item x="49"/>
        <item x="96"/>
        <item x="271"/>
        <item x="206"/>
        <item x="185"/>
        <item x="275"/>
        <item x="426"/>
        <item x="135"/>
        <item x="18"/>
        <item x="171"/>
        <item x="435"/>
        <item x="340"/>
        <item x="496"/>
        <item x="24"/>
        <item x="463"/>
        <item x="415"/>
        <item x="359"/>
        <item x="200"/>
        <item x="243"/>
        <item x="375"/>
        <item x="428"/>
        <item x="466"/>
        <item x="58"/>
        <item x="326"/>
        <item x="355"/>
        <item x="213"/>
        <item x="242"/>
        <item x="325"/>
        <item x="190"/>
        <item x="226"/>
        <item x="418"/>
        <item x="483"/>
        <item x="133"/>
        <item x="114"/>
        <item x="382"/>
        <item x="36"/>
        <item x="143"/>
        <item x="440"/>
        <item x="233"/>
        <item x="168"/>
        <item x="252"/>
        <item x="333"/>
        <item x="23"/>
        <item x="38"/>
        <item x="32"/>
        <item x="128"/>
        <item x="230"/>
        <item x="464"/>
        <item x="477"/>
        <item x="351"/>
        <item x="201"/>
        <item x="119"/>
        <item x="278"/>
        <item x="165"/>
        <item x="265"/>
        <item x="241"/>
        <item x="454"/>
        <item x="83"/>
        <item x="211"/>
        <item x="70"/>
        <item x="224"/>
        <item x="65"/>
        <item x="62"/>
        <item x="498"/>
        <item x="120"/>
        <item x="177"/>
        <item x="192"/>
        <item x="144"/>
        <item x="341"/>
        <item x="494"/>
        <item x="235"/>
        <item x="331"/>
        <item x="335"/>
        <item x="380"/>
        <item x="207"/>
        <item x="212"/>
        <item x="194"/>
        <item x="490"/>
        <item x="159"/>
        <item x="196"/>
        <item x="44"/>
        <item x="376"/>
        <item x="410"/>
        <item x="130"/>
        <item x="441"/>
        <item x="481"/>
        <item x="398"/>
        <item x="122"/>
        <item x="191"/>
        <item x="338"/>
        <item x="75"/>
        <item x="276"/>
        <item x="52"/>
        <item x="59"/>
        <item x="142"/>
        <item x="260"/>
        <item x="237"/>
        <item x="365"/>
        <item x="367"/>
        <item x="337"/>
        <item x="453"/>
        <item x="422"/>
        <item x="312"/>
        <item x="166"/>
        <item x="306"/>
        <item x="386"/>
        <item x="136"/>
        <item x="327"/>
        <item x="253"/>
        <item x="390"/>
        <item x="21"/>
        <item x="395"/>
        <item x="109"/>
        <item x="346"/>
        <item x="51"/>
        <item x="257"/>
        <item x="394"/>
        <item x="77"/>
        <item x="447"/>
        <item x="427"/>
        <item x="362"/>
        <item x="400"/>
        <item x="285"/>
        <item x="316"/>
        <item x="476"/>
        <item x="147"/>
        <item x="198"/>
        <item x="53"/>
        <item x="270"/>
        <item x="178"/>
        <item x="461"/>
        <item x="8"/>
        <item x="167"/>
        <item x="287"/>
        <item x="31"/>
        <item x="318"/>
        <item x="227"/>
        <item x="154"/>
        <item x="401"/>
        <item x="139"/>
        <item x="403"/>
        <item x="99"/>
        <item x="371"/>
        <item x="146"/>
        <item x="125"/>
        <item x="47"/>
        <item x="101"/>
        <item x="439"/>
        <item x="369"/>
        <item x="54"/>
        <item x="495"/>
        <item x="282"/>
        <item x="244"/>
        <item x="245"/>
        <item x="321"/>
        <item x="262"/>
        <item x="183"/>
        <item x="229"/>
        <item x="281"/>
        <item x="40"/>
        <item x="20"/>
        <item x="205"/>
        <item x="240"/>
        <item x="328"/>
        <item x="239"/>
        <item x="73"/>
        <item x="273"/>
        <item x="121"/>
        <item x="417"/>
        <item x="55"/>
        <item x="17"/>
        <item x="29"/>
        <item x="105"/>
        <item x="336"/>
        <item x="71"/>
        <item x="485"/>
        <item x="469"/>
        <item x="484"/>
        <item x="462"/>
        <item x="347"/>
        <item x="396"/>
        <item x="360"/>
        <item x="473"/>
        <item x="313"/>
        <item x="482"/>
        <item x="310"/>
        <item x="409"/>
        <item x="259"/>
        <item x="263"/>
        <item x="12"/>
        <item x="39"/>
        <item x="370"/>
        <item x="430"/>
        <item x="297"/>
        <item x="414"/>
        <item x="108"/>
        <item x="110"/>
        <item x="203"/>
        <item x="150"/>
        <item x="107"/>
        <item x="6"/>
        <item x="220"/>
        <item x="284"/>
        <item x="437"/>
        <item x="289"/>
        <item x="50"/>
        <item x="348"/>
        <item x="393"/>
        <item x="197"/>
        <item x="61"/>
        <item x="219"/>
        <item x="85"/>
        <item x="88"/>
        <item x="76"/>
        <item x="93"/>
        <item x="358"/>
        <item x="186"/>
        <item x="188"/>
        <item x="145"/>
        <item x="163"/>
        <item x="305"/>
        <item x="64"/>
        <item x="11"/>
        <item x="334"/>
        <item x="361"/>
        <item x="246"/>
        <item x="161"/>
        <item x="420"/>
        <item x="157"/>
        <item x="175"/>
        <item x="87"/>
        <item x="15"/>
        <item x="215"/>
        <item x="385"/>
        <item x="89"/>
        <item x="255"/>
        <item x="216"/>
        <item x="366"/>
        <item x="286"/>
        <item x="1"/>
        <item x="272"/>
        <item x="459"/>
        <item x="158"/>
        <item x="228"/>
        <item x="189"/>
        <item x="492"/>
        <item x="181"/>
        <item x="137"/>
        <item x="126"/>
        <item x="225"/>
        <item x="342"/>
        <item x="84"/>
        <item x="343"/>
        <item x="322"/>
        <item x="180"/>
        <item x="452"/>
        <item x="91"/>
        <item x="480"/>
        <item x="353"/>
        <item x="117"/>
        <item x="354"/>
        <item x="416"/>
        <item x="269"/>
        <item x="169"/>
        <item t="default"/>
      </items>
    </pivotField>
    <pivotField compact="0" showAll="0">
      <items count="501">
        <item x="33"/>
        <item x="41"/>
        <item x="280"/>
        <item x="456"/>
        <item x="372"/>
        <item x="199"/>
        <item x="155"/>
        <item x="2"/>
        <item x="67"/>
        <item x="63"/>
        <item x="16"/>
        <item x="5"/>
        <item x="421"/>
        <item x="250"/>
        <item x="97"/>
        <item x="118"/>
        <item x="357"/>
        <item x="467"/>
        <item x="223"/>
        <item x="471"/>
        <item x="152"/>
        <item x="81"/>
        <item x="78"/>
        <item x="423"/>
        <item x="25"/>
        <item x="472"/>
        <item x="0"/>
        <item x="470"/>
        <item x="218"/>
        <item x="247"/>
        <item x="170"/>
        <item x="388"/>
        <item x="445"/>
        <item x="406"/>
        <item x="424"/>
        <item x="141"/>
        <item x="377"/>
        <item x="413"/>
        <item x="34"/>
        <item x="486"/>
        <item x="106"/>
        <item x="442"/>
        <item x="373"/>
        <item x="238"/>
        <item x="307"/>
        <item x="74"/>
        <item x="302"/>
        <item x="217"/>
        <item x="164"/>
        <item x="300"/>
        <item x="193"/>
        <item x="474"/>
        <item x="124"/>
        <item x="451"/>
        <item x="115"/>
        <item x="221"/>
        <item x="268"/>
        <item x="57"/>
        <item x="392"/>
        <item x="475"/>
        <item x="279"/>
        <item x="10"/>
        <item x="391"/>
        <item x="103"/>
        <item x="433"/>
        <item x="56"/>
        <item x="384"/>
        <item x="48"/>
        <item x="368"/>
        <item x="140"/>
        <item x="425"/>
        <item x="72"/>
        <item x="256"/>
        <item x="95"/>
        <item x="148"/>
        <item x="60"/>
        <item x="274"/>
        <item x="407"/>
        <item x="402"/>
        <item x="311"/>
        <item x="204"/>
        <item x="98"/>
        <item x="162"/>
        <item x="28"/>
        <item x="345"/>
        <item x="434"/>
        <item x="113"/>
        <item x="102"/>
        <item x="195"/>
        <item x="111"/>
        <item x="411"/>
        <item x="26"/>
        <item x="277"/>
        <item x="299"/>
        <item x="248"/>
        <item x="432"/>
        <item x="438"/>
        <item x="264"/>
        <item x="381"/>
        <item x="443"/>
        <item x="319"/>
        <item x="123"/>
        <item x="271"/>
        <item x="200"/>
        <item x="405"/>
        <item x="397"/>
        <item x="45"/>
        <item x="149"/>
        <item x="315"/>
        <item x="329"/>
        <item x="173"/>
        <item x="267"/>
        <item x="288"/>
        <item x="320"/>
        <item x="454"/>
        <item x="419"/>
        <item x="79"/>
        <item x="408"/>
        <item x="294"/>
        <item x="379"/>
        <item x="100"/>
        <item x="498"/>
        <item x="171"/>
        <item x="83"/>
        <item x="174"/>
        <item x="483"/>
        <item x="104"/>
        <item x="90"/>
        <item x="201"/>
        <item x="230"/>
        <item x="254"/>
        <item x="491"/>
        <item x="159"/>
        <item x="176"/>
        <item x="120"/>
        <item x="487"/>
        <item x="7"/>
        <item x="18"/>
        <item x="493"/>
        <item x="446"/>
        <item x="398"/>
        <item x="138"/>
        <item x="38"/>
        <item x="143"/>
        <item x="440"/>
        <item x="449"/>
        <item x="177"/>
        <item x="160"/>
        <item x="32"/>
        <item x="457"/>
        <item x="412"/>
        <item x="330"/>
        <item x="86"/>
        <item x="326"/>
        <item x="344"/>
        <item x="387"/>
        <item x="428"/>
        <item x="236"/>
        <item x="62"/>
        <item x="187"/>
        <item x="211"/>
        <item x="309"/>
        <item x="465"/>
        <item x="196"/>
        <item x="109"/>
        <item x="214"/>
        <item x="66"/>
        <item x="308"/>
        <item x="142"/>
        <item x="241"/>
        <item x="136"/>
        <item x="82"/>
        <item x="295"/>
        <item x="352"/>
        <item x="234"/>
        <item x="222"/>
        <item x="395"/>
        <item x="304"/>
        <item x="365"/>
        <item x="191"/>
        <item x="496"/>
        <item x="119"/>
        <item x="401"/>
        <item x="346"/>
        <item x="362"/>
        <item x="339"/>
        <item x="285"/>
        <item x="378"/>
        <item x="429"/>
        <item x="386"/>
        <item x="431"/>
        <item x="21"/>
        <item x="75"/>
        <item x="341"/>
        <item x="202"/>
        <item x="477"/>
        <item x="127"/>
        <item x="435"/>
        <item x="58"/>
        <item x="231"/>
        <item x="355"/>
        <item x="495"/>
        <item x="129"/>
        <item x="114"/>
        <item x="447"/>
        <item x="422"/>
        <item x="245"/>
        <item x="258"/>
        <item x="367"/>
        <item x="327"/>
        <item x="30"/>
        <item x="36"/>
        <item x="47"/>
        <item x="464"/>
        <item x="154"/>
        <item x="461"/>
        <item x="380"/>
        <item x="205"/>
        <item x="298"/>
        <item x="252"/>
        <item x="441"/>
        <item x="213"/>
        <item x="121"/>
        <item x="4"/>
        <item x="105"/>
        <item x="20"/>
        <item x="134"/>
        <item x="278"/>
        <item x="293"/>
        <item x="382"/>
        <item x="31"/>
        <item x="468"/>
        <item x="324"/>
        <item x="479"/>
        <item x="317"/>
        <item x="439"/>
        <item x="404"/>
        <item x="389"/>
        <item x="489"/>
        <item x="210"/>
        <item x="399"/>
        <item x="340"/>
        <item x="453"/>
        <item x="427"/>
        <item x="499"/>
        <item x="3"/>
        <item x="59"/>
        <item x="383"/>
        <item x="251"/>
        <item x="233"/>
        <item x="209"/>
        <item x="39"/>
        <item x="313"/>
        <item x="292"/>
        <item x="8"/>
        <item x="182"/>
        <item x="46"/>
        <item x="107"/>
        <item x="349"/>
        <item x="244"/>
        <item x="356"/>
        <item x="235"/>
        <item x="207"/>
        <item x="478"/>
        <item x="484"/>
        <item x="92"/>
        <item x="426"/>
        <item x="70"/>
        <item x="266"/>
        <item x="485"/>
        <item x="273"/>
        <item x="375"/>
        <item x="65"/>
        <item x="363"/>
        <item x="263"/>
        <item x="306"/>
        <item x="232"/>
        <item x="259"/>
        <item x="6"/>
        <item x="369"/>
        <item x="332"/>
        <item x="112"/>
        <item x="350"/>
        <item x="390"/>
        <item x="490"/>
        <item x="197"/>
        <item x="239"/>
        <item x="325"/>
        <item x="198"/>
        <item x="29"/>
        <item x="400"/>
        <item x="403"/>
        <item x="265"/>
        <item x="50"/>
        <item x="276"/>
        <item x="192"/>
        <item x="55"/>
        <item x="178"/>
        <item x="290"/>
        <item x="348"/>
        <item x="219"/>
        <item x="17"/>
        <item x="51"/>
        <item x="227"/>
        <item x="337"/>
        <item x="393"/>
        <item x="262"/>
        <item x="243"/>
        <item x="43"/>
        <item x="175"/>
        <item x="19"/>
        <item x="328"/>
        <item x="165"/>
        <item x="216"/>
        <item x="101"/>
        <item x="364"/>
        <item x="73"/>
        <item x="76"/>
        <item x="410"/>
        <item x="99"/>
        <item x="108"/>
        <item x="158"/>
        <item x="167"/>
        <item x="459"/>
        <item x="282"/>
        <item x="415"/>
        <item x="27"/>
        <item x="275"/>
        <item x="417"/>
        <item x="312"/>
        <item x="185"/>
        <item x="126"/>
        <item x="116"/>
        <item x="371"/>
        <item x="338"/>
        <item x="473"/>
        <item x="163"/>
        <item x="12"/>
        <item x="494"/>
        <item x="68"/>
        <item x="261"/>
        <item x="296"/>
        <item x="370"/>
        <item x="297"/>
        <item x="497"/>
        <item x="488"/>
        <item x="181"/>
        <item x="225"/>
        <item x="133"/>
        <item x="71"/>
        <item x="314"/>
        <item x="334"/>
        <item x="396"/>
        <item x="130"/>
        <item x="240"/>
        <item x="255"/>
        <item x="110"/>
        <item x="194"/>
        <item x="333"/>
        <item x="237"/>
        <item x="44"/>
        <item x="52"/>
        <item x="131"/>
        <item x="189"/>
        <item x="305"/>
        <item x="385"/>
        <item x="224"/>
        <item x="347"/>
        <item x="289"/>
        <item x="89"/>
        <item x="146"/>
        <item x="463"/>
        <item x="128"/>
        <item x="335"/>
        <item x="88"/>
        <item x="281"/>
        <item x="23"/>
        <item x="77"/>
        <item x="137"/>
        <item x="323"/>
        <item x="260"/>
        <item x="343"/>
        <item x="322"/>
        <item x="358"/>
        <item x="64"/>
        <item x="291"/>
        <item x="455"/>
        <item x="145"/>
        <item x="212"/>
        <item x="336"/>
        <item x="458"/>
        <item x="184"/>
        <item x="284"/>
        <item x="287"/>
        <item x="61"/>
        <item x="156"/>
        <item x="117"/>
        <item x="24"/>
        <item x="481"/>
        <item x="179"/>
        <item x="172"/>
        <item x="482"/>
        <item x="40"/>
        <item x="15"/>
        <item x="436"/>
        <item x="316"/>
        <item x="22"/>
        <item x="310"/>
        <item x="186"/>
        <item x="460"/>
        <item x="54"/>
        <item x="246"/>
        <item x="206"/>
        <item x="301"/>
        <item x="359"/>
        <item x="303"/>
        <item x="466"/>
        <item x="215"/>
        <item x="14"/>
        <item x="409"/>
        <item x="150"/>
        <item x="469"/>
        <item x="53"/>
        <item x="242"/>
        <item x="144"/>
        <item x="84"/>
        <item x="228"/>
        <item x="444"/>
        <item x="420"/>
        <item x="414"/>
        <item x="203"/>
        <item x="147"/>
        <item x="35"/>
        <item x="153"/>
        <item x="452"/>
        <item x="139"/>
        <item x="94"/>
        <item x="353"/>
        <item x="249"/>
        <item x="151"/>
        <item x="354"/>
        <item x="180"/>
        <item x="272"/>
        <item x="85"/>
        <item x="42"/>
        <item x="376"/>
        <item x="208"/>
        <item x="188"/>
        <item x="80"/>
        <item x="351"/>
        <item x="37"/>
        <item x="342"/>
        <item x="96"/>
        <item x="318"/>
        <item x="220"/>
        <item x="492"/>
        <item x="125"/>
        <item x="11"/>
        <item x="480"/>
        <item x="122"/>
        <item x="462"/>
        <item x="161"/>
        <item x="226"/>
        <item x="132"/>
        <item x="257"/>
        <item x="366"/>
        <item x="448"/>
        <item x="69"/>
        <item x="321"/>
        <item x="168"/>
        <item x="286"/>
        <item x="430"/>
        <item x="331"/>
        <item x="1"/>
        <item x="450"/>
        <item x="229"/>
        <item x="269"/>
        <item x="13"/>
        <item x="418"/>
        <item x="374"/>
        <item x="9"/>
        <item x="394"/>
        <item x="91"/>
        <item x="270"/>
        <item x="476"/>
        <item x="49"/>
        <item x="283"/>
        <item x="360"/>
        <item x="190"/>
        <item x="169"/>
        <item x="87"/>
        <item x="93"/>
        <item x="253"/>
        <item x="157"/>
        <item x="166"/>
        <item x="135"/>
        <item x="361"/>
        <item x="437"/>
        <item x="183"/>
        <item x="416"/>
        <item t="default"/>
      </items>
    </pivotField>
    <pivotField dataField="1"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compact="0" showAll="0">
      <items count="501">
        <item x="270"/>
        <item x="361"/>
        <item x="166"/>
        <item x="135"/>
        <item x="416"/>
        <item x="93"/>
        <item x="122"/>
        <item x="269"/>
        <item x="437"/>
        <item x="42"/>
        <item x="394"/>
        <item x="169"/>
        <item x="91"/>
        <item x="183"/>
        <item x="87"/>
        <item x="253"/>
        <item x="476"/>
        <item x="450"/>
        <item x="366"/>
        <item x="374"/>
        <item x="180"/>
        <item x="342"/>
        <item x="418"/>
        <item x="157"/>
        <item x="9"/>
        <item x="360"/>
        <item x="351"/>
        <item x="190"/>
        <item x="331"/>
        <item x="448"/>
        <item x="452"/>
        <item x="84"/>
        <item x="1"/>
        <item x="272"/>
        <item x="257"/>
        <item x="69"/>
        <item x="206"/>
        <item x="147"/>
        <item x="49"/>
        <item x="125"/>
        <item x="117"/>
        <item x="226"/>
        <item x="11"/>
        <item x="54"/>
        <item x="466"/>
        <item x="144"/>
        <item x="283"/>
        <item x="229"/>
        <item x="354"/>
        <item x="480"/>
        <item x="23"/>
        <item x="132"/>
        <item x="96"/>
        <item x="151"/>
        <item x="40"/>
        <item x="13"/>
        <item x="321"/>
        <item x="208"/>
        <item x="150"/>
        <item x="228"/>
        <item x="492"/>
        <item x="240"/>
        <item x="436"/>
        <item x="481"/>
        <item x="430"/>
        <item x="188"/>
        <item x="168"/>
        <item x="156"/>
        <item x="80"/>
        <item x="286"/>
        <item x="146"/>
        <item x="220"/>
        <item x="249"/>
        <item x="85"/>
        <item x="318"/>
        <item x="420"/>
        <item x="303"/>
        <item x="161"/>
        <item x="110"/>
        <item x="337"/>
        <item x="260"/>
        <item x="64"/>
        <item x="414"/>
        <item x="242"/>
        <item x="22"/>
        <item x="463"/>
        <item x="462"/>
        <item x="179"/>
        <item x="409"/>
        <item x="53"/>
        <item x="52"/>
        <item x="128"/>
        <item x="415"/>
        <item x="126"/>
        <item x="212"/>
        <item x="358"/>
        <item x="291"/>
        <item x="396"/>
        <item x="284"/>
        <item x="158"/>
        <item x="314"/>
        <item x="27"/>
        <item x="94"/>
        <item x="68"/>
        <item x="376"/>
        <item x="216"/>
        <item x="215"/>
        <item x="336"/>
        <item x="338"/>
        <item x="14"/>
        <item x="185"/>
        <item x="246"/>
        <item x="497"/>
        <item x="89"/>
        <item x="316"/>
        <item x="203"/>
        <item x="15"/>
        <item x="139"/>
        <item x="37"/>
        <item x="370"/>
        <item x="281"/>
        <item x="287"/>
        <item x="353"/>
        <item x="400"/>
        <item x="165"/>
        <item x="417"/>
        <item x="469"/>
        <item x="35"/>
        <item x="189"/>
        <item x="153"/>
        <item x="99"/>
        <item x="458"/>
        <item x="186"/>
        <item x="71"/>
        <item x="312"/>
        <item x="130"/>
        <item x="410"/>
        <item x="77"/>
        <item x="444"/>
        <item x="237"/>
        <item x="325"/>
        <item x="61"/>
        <item x="181"/>
        <item x="322"/>
        <item x="494"/>
        <item x="137"/>
        <item x="224"/>
        <item x="273"/>
        <item x="364"/>
        <item x="50"/>
        <item x="43"/>
        <item x="343"/>
        <item x="225"/>
        <item x="24"/>
        <item x="301"/>
        <item x="484"/>
        <item x="297"/>
        <item x="349"/>
        <item x="359"/>
        <item x="55"/>
        <item x="175"/>
        <item x="275"/>
        <item x="51"/>
        <item x="333"/>
        <item x="460"/>
        <item x="292"/>
        <item x="348"/>
        <item x="19"/>
        <item x="310"/>
        <item x="427"/>
        <item x="276"/>
        <item x="347"/>
        <item x="233"/>
        <item x="232"/>
        <item x="194"/>
        <item x="145"/>
        <item x="455"/>
        <item x="172"/>
        <item x="482"/>
        <item x="369"/>
        <item x="282"/>
        <item x="184"/>
        <item x="116"/>
        <item x="393"/>
        <item x="88"/>
        <item x="296"/>
        <item x="324"/>
        <item x="473"/>
        <item x="12"/>
        <item x="439"/>
        <item x="44"/>
        <item x="478"/>
        <item x="371"/>
        <item x="59"/>
        <item x="323"/>
        <item x="262"/>
        <item x="289"/>
        <item x="192"/>
        <item x="459"/>
        <item x="335"/>
        <item x="187"/>
        <item x="197"/>
        <item x="8"/>
        <item x="429"/>
        <item x="305"/>
        <item x="356"/>
        <item x="163"/>
        <item x="385"/>
        <item x="227"/>
        <item x="327"/>
        <item x="243"/>
        <item x="261"/>
        <item x="219"/>
        <item x="234"/>
        <item x="196"/>
        <item x="344"/>
        <item x="36"/>
        <item x="365"/>
        <item x="131"/>
        <item x="339"/>
        <item x="108"/>
        <item x="290"/>
        <item x="255"/>
        <item x="207"/>
        <item x="214"/>
        <item x="399"/>
        <item x="209"/>
        <item x="73"/>
        <item x="123"/>
        <item x="375"/>
        <item x="389"/>
        <item x="355"/>
        <item x="182"/>
        <item x="334"/>
        <item x="105"/>
        <item x="453"/>
        <item x="107"/>
        <item x="464"/>
        <item x="222"/>
        <item x="213"/>
        <item x="133"/>
        <item x="167"/>
        <item x="47"/>
        <item x="426"/>
        <item x="29"/>
        <item x="403"/>
        <item x="4"/>
        <item x="428"/>
        <item x="32"/>
        <item x="461"/>
        <item x="441"/>
        <item x="446"/>
        <item x="114"/>
        <item x="328"/>
        <item x="244"/>
        <item x="254"/>
        <item x="449"/>
        <item x="6"/>
        <item x="295"/>
        <item x="79"/>
        <item x="39"/>
        <item x="496"/>
        <item x="298"/>
        <item x="111"/>
        <item x="346"/>
        <item x="363"/>
        <item x="285"/>
        <item x="488"/>
        <item x="258"/>
        <item x="134"/>
        <item x="112"/>
        <item x="205"/>
        <item x="265"/>
        <item x="308"/>
        <item x="395"/>
        <item x="202"/>
        <item x="293"/>
        <item x="76"/>
        <item x="320"/>
        <item x="75"/>
        <item x="313"/>
        <item x="231"/>
        <item x="200"/>
        <item x="404"/>
        <item x="390"/>
        <item x="431"/>
        <item x="7"/>
        <item x="201"/>
        <item x="198"/>
        <item x="493"/>
        <item x="121"/>
        <item x="251"/>
        <item x="101"/>
        <item x="171"/>
        <item x="30"/>
        <item x="70"/>
        <item x="263"/>
        <item x="239"/>
        <item x="259"/>
        <item x="21"/>
        <item x="195"/>
        <item x="109"/>
        <item x="18"/>
        <item x="31"/>
        <item x="65"/>
        <item x="309"/>
        <item x="288"/>
        <item x="422"/>
        <item x="490"/>
        <item x="100"/>
        <item x="264"/>
        <item x="17"/>
        <item x="457"/>
        <item x="129"/>
        <item x="178"/>
        <item x="387"/>
        <item x="173"/>
        <item x="143"/>
        <item x="142"/>
        <item x="294"/>
        <item x="495"/>
        <item x="326"/>
        <item x="20"/>
        <item x="210"/>
        <item x="57"/>
        <item x="411"/>
        <item x="211"/>
        <item x="124"/>
        <item x="465"/>
        <item x="499"/>
        <item x="266"/>
        <item x="306"/>
        <item x="92"/>
        <item x="149"/>
        <item x="479"/>
        <item x="136"/>
        <item x="46"/>
        <item x="489"/>
        <item x="485"/>
        <item x="103"/>
        <item x="315"/>
        <item x="138"/>
        <item x="221"/>
        <item x="152"/>
        <item x="401"/>
        <item x="319"/>
        <item x="332"/>
        <item x="277"/>
        <item x="330"/>
        <item x="350"/>
        <item x="477"/>
        <item x="58"/>
        <item x="230"/>
        <item x="300"/>
        <item x="176"/>
        <item x="104"/>
        <item x="267"/>
        <item x="113"/>
        <item x="278"/>
        <item x="447"/>
        <item x="3"/>
        <item x="304"/>
        <item x="236"/>
        <item x="120"/>
        <item x="440"/>
        <item x="235"/>
        <item x="380"/>
        <item x="256"/>
        <item x="398"/>
        <item x="317"/>
        <item x="95"/>
        <item x="86"/>
        <item x="74"/>
        <item x="408"/>
        <item x="405"/>
        <item x="468"/>
        <item x="299"/>
        <item x="340"/>
        <item x="352"/>
        <item x="432"/>
        <item x="119"/>
        <item x="160"/>
        <item x="118"/>
        <item x="252"/>
        <item x="10"/>
        <item x="434"/>
        <item x="248"/>
        <item x="341"/>
        <item x="357"/>
        <item x="419"/>
        <item x="491"/>
        <item x="383"/>
        <item x="378"/>
        <item x="382"/>
        <item x="56"/>
        <item x="162"/>
        <item x="62"/>
        <item x="311"/>
        <item x="472"/>
        <item x="83"/>
        <item x="115"/>
        <item x="386"/>
        <item x="362"/>
        <item x="245"/>
        <item x="379"/>
        <item x="487"/>
        <item x="470"/>
        <item x="45"/>
        <item x="159"/>
        <item x="127"/>
        <item x="154"/>
        <item x="98"/>
        <item x="435"/>
        <item x="48"/>
        <item x="82"/>
        <item x="140"/>
        <item x="329"/>
        <item x="274"/>
        <item x="397"/>
        <item x="425"/>
        <item x="483"/>
        <item x="438"/>
        <item x="191"/>
        <item x="474"/>
        <item x="66"/>
        <item x="498"/>
        <item x="106"/>
        <item x="164"/>
        <item x="28"/>
        <item x="402"/>
        <item x="241"/>
        <item x="391"/>
        <item x="377"/>
        <item x="486"/>
        <item x="407"/>
        <item x="26"/>
        <item x="78"/>
        <item x="421"/>
        <item x="97"/>
        <item x="367"/>
        <item x="38"/>
        <item x="177"/>
        <item x="218"/>
        <item x="443"/>
        <item x="454"/>
        <item x="199"/>
        <item x="72"/>
        <item x="60"/>
        <item x="279"/>
        <item x="412"/>
        <item x="381"/>
        <item x="102"/>
        <item x="442"/>
        <item x="271"/>
        <item x="25"/>
        <item x="302"/>
        <item x="368"/>
        <item x="467"/>
        <item x="90"/>
        <item x="345"/>
        <item x="247"/>
        <item x="5"/>
        <item x="141"/>
        <item x="471"/>
        <item x="373"/>
        <item x="204"/>
        <item x="193"/>
        <item x="413"/>
        <item x="280"/>
        <item x="388"/>
        <item x="174"/>
        <item x="250"/>
        <item x="384"/>
        <item x="372"/>
        <item x="67"/>
        <item x="34"/>
        <item x="433"/>
        <item x="424"/>
        <item x="268"/>
        <item x="392"/>
        <item x="238"/>
        <item x="223"/>
        <item x="217"/>
        <item x="2"/>
        <item x="81"/>
        <item x="423"/>
        <item x="445"/>
        <item x="0"/>
        <item x="307"/>
        <item x="63"/>
        <item x="41"/>
        <item x="451"/>
        <item x="475"/>
        <item x="148"/>
        <item x="406"/>
        <item x="170"/>
        <item x="33"/>
        <item x="456"/>
        <item x="16"/>
        <item x="155"/>
        <item t="default"/>
      </items>
    </pivotField>
    <pivotField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compact="0" showAll="0">
      <items count="8">
        <item x="5"/>
        <item x="1"/>
        <item x="4"/>
        <item x="3"/>
        <item x="2"/>
        <item x="0"/>
        <item x="6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OAS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>
  <location ref="B12:F17" firstHeaderRow="0" firstDataRow="1" firstDataCol="1"/>
  <pivotFields count="1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>
      <items count="174">
        <item x="64"/>
        <item x="109"/>
        <item x="121"/>
        <item x="68"/>
        <item x="81"/>
        <item x="118"/>
        <item x="37"/>
        <item x="116"/>
        <item x="142"/>
        <item x="53"/>
        <item x="13"/>
        <item x="123"/>
        <item x="91"/>
        <item x="139"/>
        <item x="136"/>
        <item x="30"/>
        <item x="57"/>
        <item x="146"/>
        <item x="126"/>
        <item x="143"/>
        <item x="125"/>
        <item x="165"/>
        <item x="102"/>
        <item x="41"/>
        <item x="101"/>
        <item x="156"/>
        <item x="113"/>
        <item x="170"/>
        <item x="46"/>
        <item x="74"/>
        <item x="17"/>
        <item x="168"/>
        <item x="36"/>
        <item x="12"/>
        <item x="85"/>
        <item x="1"/>
        <item x="129"/>
        <item x="134"/>
        <item x="26"/>
        <item x="87"/>
        <item x="166"/>
        <item x="47"/>
        <item x="48"/>
        <item x="89"/>
        <item x="150"/>
        <item x="59"/>
        <item x="152"/>
        <item x="127"/>
        <item x="8"/>
        <item x="14"/>
        <item x="138"/>
        <item x="43"/>
        <item x="157"/>
        <item x="140"/>
        <item x="111"/>
        <item x="84"/>
        <item x="60"/>
        <item x="160"/>
        <item x="99"/>
        <item x="32"/>
        <item x="112"/>
        <item x="22"/>
        <item x="49"/>
        <item x="162"/>
        <item x="67"/>
        <item x="128"/>
        <item x="108"/>
        <item x="76"/>
        <item x="54"/>
        <item x="29"/>
        <item x="62"/>
        <item x="65"/>
        <item x="148"/>
        <item x="90"/>
        <item x="79"/>
        <item x="55"/>
        <item x="106"/>
        <item x="83"/>
        <item x="75"/>
        <item x="24"/>
        <item x="34"/>
        <item x="61"/>
        <item x="15"/>
        <item x="42"/>
        <item x="45"/>
        <item x="172"/>
        <item x="115"/>
        <item x="133"/>
        <item x="66"/>
        <item x="132"/>
        <item x="56"/>
        <item x="82"/>
        <item x="158"/>
        <item x="153"/>
        <item x="145"/>
        <item x="105"/>
        <item x="73"/>
        <item x="149"/>
        <item x="9"/>
        <item x="147"/>
        <item x="6"/>
        <item x="52"/>
        <item x="35"/>
        <item x="131"/>
        <item x="167"/>
        <item x="2"/>
        <item x="77"/>
        <item x="23"/>
        <item x="10"/>
        <item x="31"/>
        <item x="7"/>
        <item x="58"/>
        <item x="122"/>
        <item x="33"/>
        <item x="151"/>
        <item x="169"/>
        <item x="96"/>
        <item x="38"/>
        <item x="5"/>
        <item x="114"/>
        <item x="21"/>
        <item x="70"/>
        <item x="27"/>
        <item x="51"/>
        <item x="88"/>
        <item x="98"/>
        <item x="50"/>
        <item x="137"/>
        <item x="78"/>
        <item x="80"/>
        <item x="120"/>
        <item x="86"/>
        <item x="103"/>
        <item x="71"/>
        <item x="0"/>
        <item x="107"/>
        <item x="171"/>
        <item x="104"/>
        <item x="19"/>
        <item x="39"/>
        <item x="161"/>
        <item x="93"/>
        <item x="155"/>
        <item x="97"/>
        <item x="110"/>
        <item x="4"/>
        <item x="130"/>
        <item x="100"/>
        <item x="154"/>
        <item x="163"/>
        <item x="124"/>
        <item x="40"/>
        <item x="141"/>
        <item x="135"/>
        <item x="94"/>
        <item x="69"/>
        <item x="28"/>
        <item x="16"/>
        <item x="117"/>
        <item x="11"/>
        <item x="44"/>
        <item x="3"/>
        <item x="92"/>
        <item x="25"/>
        <item x="20"/>
        <item x="164"/>
        <item x="144"/>
        <item x="72"/>
        <item x="18"/>
        <item x="159"/>
        <item x="95"/>
        <item x="119"/>
        <item x="63"/>
        <item t="default"/>
      </items>
    </pivotField>
    <pivotField compact="0" showAll="0">
      <items count="6">
        <item x="1"/>
        <item x="0"/>
        <item x="4"/>
        <item x="3"/>
        <item x="2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>
      <items count="501">
        <item x="24"/>
        <item x="315"/>
        <item x="152"/>
        <item x="280"/>
        <item x="57"/>
        <item x="312"/>
        <item x="294"/>
        <item x="79"/>
        <item x="349"/>
        <item x="104"/>
        <item x="411"/>
        <item x="14"/>
        <item x="95"/>
        <item x="97"/>
        <item x="472"/>
        <item x="56"/>
        <item x="474"/>
        <item x="162"/>
        <item x="398"/>
        <item x="319"/>
        <item x="100"/>
        <item x="434"/>
        <item x="176"/>
        <item x="471"/>
        <item x="2"/>
        <item x="346"/>
        <item x="123"/>
        <item x="118"/>
        <item x="446"/>
        <item x="224"/>
        <item x="320"/>
        <item x="67"/>
        <item x="282"/>
        <item x="201"/>
        <item x="372"/>
        <item x="74"/>
        <item x="124"/>
        <item x="113"/>
        <item x="296"/>
        <item x="425"/>
        <item x="33"/>
        <item x="41"/>
        <item x="182"/>
        <item x="111"/>
        <item x="250"/>
        <item x="143"/>
        <item x="153"/>
        <item x="30"/>
        <item x="44"/>
        <item x="98"/>
        <item x="196"/>
        <item x="387"/>
        <item x="373"/>
        <item x="455"/>
        <item x="310"/>
        <item x="7"/>
        <item x="478"/>
        <item x="242"/>
        <item x="22"/>
        <item x="426"/>
        <item x="192"/>
        <item x="173"/>
        <item x="407"/>
        <item x="267"/>
        <item x="106"/>
        <item x="388"/>
        <item x="37"/>
        <item x="460"/>
        <item x="404"/>
        <item x="243"/>
        <item x="432"/>
        <item x="467"/>
        <item x="200"/>
        <item x="464"/>
        <item x="199"/>
        <item x="114"/>
        <item x="365"/>
        <item x="129"/>
        <item x="295"/>
        <item x="456"/>
        <item x="457"/>
        <item x="289"/>
        <item x="442"/>
        <item x="5"/>
        <item x="413"/>
        <item x="39"/>
        <item x="285"/>
        <item x="78"/>
        <item x="19"/>
        <item x="470"/>
        <item x="202"/>
        <item x="300"/>
        <item x="207"/>
        <item x="284"/>
        <item x="214"/>
        <item x="187"/>
        <item x="486"/>
        <item x="99"/>
        <item x="441"/>
        <item x="405"/>
        <item x="293"/>
        <item x="156"/>
        <item x="71"/>
        <item x="444"/>
        <item x="36"/>
        <item x="344"/>
        <item x="363"/>
        <item x="248"/>
        <item x="357"/>
        <item x="221"/>
        <item x="195"/>
        <item x="63"/>
        <item x="231"/>
        <item x="75"/>
        <item x="222"/>
        <item x="440"/>
        <item x="458"/>
        <item x="179"/>
        <item x="254"/>
        <item x="35"/>
        <item x="336"/>
        <item x="47"/>
        <item x="236"/>
        <item x="227"/>
        <item x="461"/>
        <item x="193"/>
        <item x="391"/>
        <item x="325"/>
        <item x="420"/>
        <item x="103"/>
        <item x="409"/>
        <item x="164"/>
        <item x="229"/>
        <item x="48"/>
        <item x="223"/>
        <item x="96"/>
        <item x="232"/>
        <item x="423"/>
        <item x="396"/>
        <item x="247"/>
        <item x="12"/>
        <item x="28"/>
        <item x="34"/>
        <item x="125"/>
        <item x="45"/>
        <item x="401"/>
        <item x="230"/>
        <item x="72"/>
        <item x="428"/>
        <item x="139"/>
        <item x="274"/>
        <item x="251"/>
        <item x="273"/>
        <item x="234"/>
        <item x="436"/>
        <item x="60"/>
        <item x="256"/>
        <item x="261"/>
        <item x="238"/>
        <item x="65"/>
        <item x="188"/>
        <item x="429"/>
        <item x="165"/>
        <item x="356"/>
        <item x="110"/>
        <item x="220"/>
        <item x="21"/>
        <item x="26"/>
        <item x="279"/>
        <item x="219"/>
        <item x="46"/>
        <item x="495"/>
        <item x="81"/>
        <item x="449"/>
        <item x="376"/>
        <item x="497"/>
        <item x="290"/>
        <item x="0"/>
        <item x="116"/>
        <item x="155"/>
        <item x="94"/>
        <item x="172"/>
        <item x="213"/>
        <item x="303"/>
        <item x="59"/>
        <item x="120"/>
        <item x="496"/>
        <item x="20"/>
        <item x="321"/>
        <item x="422"/>
        <item x="430"/>
        <item x="288"/>
        <item x="185"/>
        <item x="491"/>
        <item x="489"/>
        <item x="291"/>
        <item x="318"/>
        <item x="408"/>
        <item x="268"/>
        <item x="308"/>
        <item x="82"/>
        <item x="218"/>
        <item x="6"/>
        <item x="329"/>
        <item x="493"/>
        <item x="305"/>
        <item x="189"/>
        <item x="246"/>
        <item x="13"/>
        <item x="142"/>
        <item x="481"/>
        <item x="333"/>
        <item x="438"/>
        <item x="277"/>
        <item x="287"/>
        <item x="463"/>
        <item x="421"/>
        <item x="8"/>
        <item x="447"/>
        <item x="499"/>
        <item x="175"/>
        <item x="323"/>
        <item x="233"/>
        <item x="417"/>
        <item x="307"/>
        <item x="51"/>
        <item x="419"/>
        <item x="194"/>
        <item x="141"/>
        <item x="379"/>
        <item x="377"/>
        <item x="326"/>
        <item x="443"/>
        <item x="278"/>
        <item x="77"/>
        <item x="49"/>
        <item x="134"/>
        <item x="264"/>
        <item x="389"/>
        <item x="43"/>
        <item x="190"/>
        <item x="9"/>
        <item x="459"/>
        <item x="477"/>
        <item x="102"/>
        <item x="32"/>
        <item x="311"/>
        <item x="158"/>
        <item x="211"/>
        <item x="212"/>
        <item x="167"/>
        <item x="371"/>
        <item x="217"/>
        <item x="393"/>
        <item x="309"/>
        <item x="249"/>
        <item x="494"/>
        <item x="121"/>
        <item x="16"/>
        <item x="70"/>
        <item x="375"/>
        <item x="184"/>
        <item x="159"/>
        <item x="85"/>
        <item x="31"/>
        <item x="286"/>
        <item x="381"/>
        <item x="490"/>
        <item x="339"/>
        <item x="255"/>
        <item x="86"/>
        <item x="313"/>
        <item x="397"/>
        <item x="301"/>
        <item x="262"/>
        <item x="119"/>
        <item x="331"/>
        <item x="272"/>
        <item x="453"/>
        <item x="283"/>
        <item x="237"/>
        <item x="18"/>
        <item x="1"/>
        <item x="498"/>
        <item x="68"/>
        <item x="10"/>
        <item x="364"/>
        <item x="109"/>
        <item x="362"/>
        <item x="170"/>
        <item x="115"/>
        <item x="390"/>
        <item x="466"/>
        <item x="144"/>
        <item x="208"/>
        <item x="252"/>
        <item x="191"/>
        <item x="454"/>
        <item x="27"/>
        <item x="304"/>
        <item x="415"/>
        <item x="353"/>
        <item x="161"/>
        <item x="204"/>
        <item x="160"/>
        <item x="138"/>
        <item x="394"/>
        <item x="38"/>
        <item x="54"/>
        <item x="101"/>
        <item x="29"/>
        <item x="476"/>
        <item x="197"/>
        <item x="58"/>
        <item x="445"/>
        <item x="487"/>
        <item x="314"/>
        <item x="406"/>
        <item x="335"/>
        <item x="15"/>
        <item x="69"/>
        <item x="468"/>
        <item x="317"/>
        <item x="244"/>
        <item x="298"/>
        <item x="181"/>
        <item x="52"/>
        <item x="359"/>
        <item x="483"/>
        <item x="378"/>
        <item x="402"/>
        <item x="168"/>
        <item x="418"/>
        <item x="431"/>
        <item x="203"/>
        <item x="482"/>
        <item x="260"/>
        <item x="105"/>
        <item x="345"/>
        <item x="266"/>
        <item x="127"/>
        <item x="340"/>
        <item x="384"/>
        <item x="145"/>
        <item x="427"/>
        <item x="89"/>
        <item x="479"/>
        <item x="338"/>
        <item x="146"/>
        <item x="433"/>
        <item x="3"/>
        <item x="210"/>
        <item x="107"/>
        <item x="292"/>
        <item x="322"/>
        <item x="259"/>
        <item x="451"/>
        <item x="328"/>
        <item x="53"/>
        <item x="25"/>
        <item x="439"/>
        <item x="324"/>
        <item x="128"/>
        <item x="276"/>
        <item x="355"/>
        <item x="241"/>
        <item x="448"/>
        <item x="154"/>
        <item x="209"/>
        <item x="385"/>
        <item x="149"/>
        <item x="133"/>
        <item x="186"/>
        <item x="369"/>
        <item x="400"/>
        <item x="306"/>
        <item x="352"/>
        <item x="354"/>
        <item x="178"/>
        <item x="327"/>
        <item x="414"/>
        <item x="183"/>
        <item x="462"/>
        <item x="17"/>
        <item x="131"/>
        <item x="150"/>
        <item x="366"/>
        <item x="392"/>
        <item x="424"/>
        <item x="360"/>
        <item x="253"/>
        <item x="216"/>
        <item x="347"/>
        <item x="140"/>
        <item x="93"/>
        <item x="258"/>
        <item x="382"/>
        <item x="92"/>
        <item x="351"/>
        <item x="330"/>
        <item x="469"/>
        <item x="206"/>
        <item x="40"/>
        <item x="492"/>
        <item x="90"/>
        <item x="148"/>
        <item x="126"/>
        <item x="370"/>
        <item x="62"/>
        <item x="302"/>
        <item x="42"/>
        <item x="169"/>
        <item x="380"/>
        <item x="465"/>
        <item x="343"/>
        <item x="4"/>
        <item x="55"/>
        <item x="257"/>
        <item x="73"/>
        <item x="84"/>
        <item x="83"/>
        <item x="112"/>
        <item x="297"/>
        <item x="117"/>
        <item x="132"/>
        <item x="342"/>
        <item x="374"/>
        <item x="412"/>
        <item x="171"/>
        <item x="450"/>
        <item x="383"/>
        <item x="484"/>
        <item x="435"/>
        <item x="386"/>
        <item x="265"/>
        <item x="334"/>
        <item x="316"/>
        <item x="350"/>
        <item x="245"/>
        <item x="61"/>
        <item x="88"/>
        <item x="361"/>
        <item x="348"/>
        <item x="66"/>
        <item x="163"/>
        <item x="215"/>
        <item x="76"/>
        <item x="410"/>
        <item x="437"/>
        <item x="135"/>
        <item x="299"/>
        <item x="198"/>
        <item x="64"/>
        <item x="452"/>
        <item x="136"/>
        <item x="151"/>
        <item x="50"/>
        <item x="91"/>
        <item x="332"/>
        <item x="275"/>
        <item x="271"/>
        <item x="416"/>
        <item x="205"/>
        <item x="269"/>
        <item x="228"/>
        <item x="485"/>
        <item x="473"/>
        <item x="395"/>
        <item x="240"/>
        <item x="80"/>
        <item x="263"/>
        <item x="11"/>
        <item x="137"/>
        <item x="180"/>
        <item x="108"/>
        <item x="281"/>
        <item x="122"/>
        <item x="239"/>
        <item x="475"/>
        <item x="399"/>
        <item x="367"/>
        <item x="226"/>
        <item x="157"/>
        <item x="480"/>
        <item x="174"/>
        <item x="341"/>
        <item x="166"/>
        <item x="225"/>
        <item x="270"/>
        <item x="147"/>
        <item x="23"/>
        <item x="337"/>
        <item x="358"/>
        <item x="235"/>
        <item x="87"/>
        <item x="130"/>
        <item x="368"/>
        <item x="403"/>
        <item x="488"/>
        <item x="177"/>
        <item t="default"/>
      </items>
    </pivotField>
    <pivotField dataField="1" compact="0" showAll="0">
      <items count="501">
        <item x="315"/>
        <item x="294"/>
        <item x="472"/>
        <item x="474"/>
        <item x="319"/>
        <item x="446"/>
        <item x="123"/>
        <item x="152"/>
        <item x="162"/>
        <item x="57"/>
        <item x="201"/>
        <item x="33"/>
        <item x="67"/>
        <item x="95"/>
        <item x="280"/>
        <item x="346"/>
        <item x="111"/>
        <item x="79"/>
        <item x="24"/>
        <item x="153"/>
        <item x="411"/>
        <item x="56"/>
        <item x="478"/>
        <item x="143"/>
        <item x="100"/>
        <item x="296"/>
        <item x="434"/>
        <item x="425"/>
        <item x="471"/>
        <item x="41"/>
        <item x="196"/>
        <item x="74"/>
        <item x="312"/>
        <item x="349"/>
        <item x="467"/>
        <item x="224"/>
        <item x="97"/>
        <item x="104"/>
        <item x="44"/>
        <item x="118"/>
        <item x="432"/>
        <item x="14"/>
        <item x="113"/>
        <item x="320"/>
        <item x="387"/>
        <item x="285"/>
        <item x="243"/>
        <item x="398"/>
        <item x="7"/>
        <item x="19"/>
        <item x="106"/>
        <item x="176"/>
        <item x="300"/>
        <item x="199"/>
        <item x="2"/>
        <item x="365"/>
        <item x="124"/>
        <item x="200"/>
        <item x="470"/>
        <item x="456"/>
        <item x="98"/>
        <item x="405"/>
        <item x="357"/>
        <item x="407"/>
        <item x="187"/>
        <item x="36"/>
        <item x="426"/>
        <item x="182"/>
        <item x="460"/>
        <item x="5"/>
        <item x="195"/>
        <item x="344"/>
        <item x="372"/>
        <item x="221"/>
        <item x="63"/>
        <item x="30"/>
        <item x="114"/>
        <item x="231"/>
        <item x="282"/>
        <item x="267"/>
        <item x="293"/>
        <item x="173"/>
        <item x="455"/>
        <item x="464"/>
        <item x="222"/>
        <item x="440"/>
        <item x="214"/>
        <item x="202"/>
        <item x="48"/>
        <item x="207"/>
        <item x="227"/>
        <item x="250"/>
        <item x="242"/>
        <item x="22"/>
        <item x="373"/>
        <item x="310"/>
        <item x="295"/>
        <item x="164"/>
        <item x="12"/>
        <item x="223"/>
        <item x="404"/>
        <item x="388"/>
        <item x="192"/>
        <item x="129"/>
        <item x="35"/>
        <item x="429"/>
        <item x="179"/>
        <item x="442"/>
        <item x="78"/>
        <item x="99"/>
        <item x="37"/>
        <item x="60"/>
        <item x="336"/>
        <item x="251"/>
        <item x="81"/>
        <item x="486"/>
        <item x="234"/>
        <item x="457"/>
        <item x="193"/>
        <item x="47"/>
        <item x="289"/>
        <item x="213"/>
        <item x="413"/>
        <item x="103"/>
        <item x="39"/>
        <item x="26"/>
        <item x="261"/>
        <item x="71"/>
        <item x="28"/>
        <item x="94"/>
        <item x="325"/>
        <item x="291"/>
        <item x="391"/>
        <item x="284"/>
        <item x="461"/>
        <item x="236"/>
        <item x="308"/>
        <item x="254"/>
        <item x="430"/>
        <item x="356"/>
        <item x="21"/>
        <item x="497"/>
        <item x="230"/>
        <item x="232"/>
        <item x="96"/>
        <item x="185"/>
        <item x="274"/>
        <item x="376"/>
        <item x="290"/>
        <item x="248"/>
        <item x="34"/>
        <item x="441"/>
        <item x="421"/>
        <item x="156"/>
        <item x="155"/>
        <item x="401"/>
        <item x="363"/>
        <item x="458"/>
        <item x="45"/>
        <item x="20"/>
        <item x="218"/>
        <item x="428"/>
        <item x="444"/>
        <item x="420"/>
        <item x="321"/>
        <item x="423"/>
        <item x="13"/>
        <item x="229"/>
        <item x="495"/>
        <item x="75"/>
        <item x="396"/>
        <item x="277"/>
        <item x="247"/>
        <item x="491"/>
        <item x="333"/>
        <item x="389"/>
        <item x="419"/>
        <item x="141"/>
        <item x="329"/>
        <item x="139"/>
        <item x="49"/>
        <item x="417"/>
        <item x="188"/>
        <item x="377"/>
        <item x="165"/>
        <item x="6"/>
        <item x="496"/>
        <item x="305"/>
        <item x="463"/>
        <item x="409"/>
        <item x="279"/>
        <item x="72"/>
        <item x="422"/>
        <item x="318"/>
        <item x="494"/>
        <item x="219"/>
        <item x="125"/>
        <item x="303"/>
        <item x="65"/>
        <item x="246"/>
        <item x="116"/>
        <item x="273"/>
        <item x="211"/>
        <item x="436"/>
        <item x="288"/>
        <item x="110"/>
        <item x="256"/>
        <item x="375"/>
        <item x="120"/>
        <item x="311"/>
        <item x="286"/>
        <item x="499"/>
        <item x="194"/>
        <item x="86"/>
        <item x="175"/>
        <item x="68"/>
        <item x="16"/>
        <item x="238"/>
        <item x="212"/>
        <item x="283"/>
        <item x="172"/>
        <item x="408"/>
        <item x="287"/>
        <item x="102"/>
        <item x="459"/>
        <item x="278"/>
        <item x="220"/>
        <item x="167"/>
        <item x="46"/>
        <item x="43"/>
        <item x="144"/>
        <item x="1"/>
        <item x="268"/>
        <item x="204"/>
        <item x="0"/>
        <item x="379"/>
        <item x="233"/>
        <item x="438"/>
        <item x="381"/>
        <item x="69"/>
        <item x="449"/>
        <item x="59"/>
        <item x="10"/>
        <item x="32"/>
        <item x="415"/>
        <item x="362"/>
        <item x="489"/>
        <item x="313"/>
        <item x="477"/>
        <item x="443"/>
        <item x="487"/>
        <item x="493"/>
        <item x="323"/>
        <item x="326"/>
        <item x="77"/>
        <item x="203"/>
        <item x="397"/>
        <item x="197"/>
        <item x="378"/>
        <item x="58"/>
        <item x="8"/>
        <item x="3"/>
        <item x="433"/>
        <item x="264"/>
        <item x="9"/>
        <item x="481"/>
        <item x="331"/>
        <item x="445"/>
        <item x="189"/>
        <item x="142"/>
        <item x="145"/>
        <item x="262"/>
        <item x="317"/>
        <item x="82"/>
        <item x="146"/>
        <item x="301"/>
        <item x="272"/>
        <item x="217"/>
        <item x="371"/>
        <item x="298"/>
        <item x="168"/>
        <item x="447"/>
        <item x="27"/>
        <item x="184"/>
        <item x="208"/>
        <item x="209"/>
        <item x="406"/>
        <item x="439"/>
        <item x="400"/>
        <item x="359"/>
        <item x="309"/>
        <item x="109"/>
        <item x="237"/>
        <item x="170"/>
        <item x="304"/>
        <item x="15"/>
        <item x="479"/>
        <item x="190"/>
        <item x="134"/>
        <item x="307"/>
        <item x="424"/>
        <item x="133"/>
        <item x="70"/>
        <item x="364"/>
        <item x="138"/>
        <item x="327"/>
        <item x="340"/>
        <item x="385"/>
        <item x="324"/>
        <item x="306"/>
        <item x="360"/>
        <item x="392"/>
        <item x="51"/>
        <item x="252"/>
        <item x="462"/>
        <item x="345"/>
        <item x="355"/>
        <item x="490"/>
        <item x="343"/>
        <item x="322"/>
        <item x="54"/>
        <item x="31"/>
        <item x="89"/>
        <item x="255"/>
        <item x="253"/>
        <item x="468"/>
        <item x="161"/>
        <item x="498"/>
        <item x="115"/>
        <item x="418"/>
        <item x="258"/>
        <item x="105"/>
        <item x="402"/>
        <item x="454"/>
        <item x="249"/>
        <item x="244"/>
        <item x="158"/>
        <item x="386"/>
        <item x="53"/>
        <item x="171"/>
        <item x="121"/>
        <item x="483"/>
        <item x="393"/>
        <item x="466"/>
        <item x="85"/>
        <item x="299"/>
        <item x="160"/>
        <item x="257"/>
        <item x="339"/>
        <item x="159"/>
        <item x="149"/>
        <item x="370"/>
        <item x="260"/>
        <item x="181"/>
        <item x="101"/>
        <item x="448"/>
        <item x="131"/>
        <item x="4"/>
        <item x="276"/>
        <item x="451"/>
        <item x="347"/>
        <item x="366"/>
        <item x="427"/>
        <item x="335"/>
        <item x="453"/>
        <item x="328"/>
        <item x="119"/>
        <item x="126"/>
        <item x="352"/>
        <item x="136"/>
        <item x="205"/>
        <item x="18"/>
        <item x="354"/>
        <item x="191"/>
        <item x="151"/>
        <item x="127"/>
        <item x="475"/>
        <item x="353"/>
        <item x="302"/>
        <item x="38"/>
        <item x="384"/>
        <item x="332"/>
        <item x="52"/>
        <item x="476"/>
        <item x="55"/>
        <item x="314"/>
        <item x="380"/>
        <item x="29"/>
        <item x="157"/>
        <item x="241"/>
        <item x="83"/>
        <item x="107"/>
        <item x="292"/>
        <item x="390"/>
        <item x="154"/>
        <item x="84"/>
        <item x="394"/>
        <item x="61"/>
        <item x="183"/>
        <item x="410"/>
        <item x="216"/>
        <item x="480"/>
        <item x="431"/>
        <item x="488"/>
        <item x="263"/>
        <item x="50"/>
        <item x="150"/>
        <item x="239"/>
        <item x="186"/>
        <item x="240"/>
        <item x="465"/>
        <item x="259"/>
        <item x="281"/>
        <item x="225"/>
        <item x="482"/>
        <item x="25"/>
        <item x="87"/>
        <item x="132"/>
        <item x="369"/>
        <item x="245"/>
        <item x="469"/>
        <item x="62"/>
        <item x="128"/>
        <item x="266"/>
        <item x="368"/>
        <item x="135"/>
        <item x="412"/>
        <item x="275"/>
        <item x="473"/>
        <item x="210"/>
        <item x="92"/>
        <item x="338"/>
        <item x="382"/>
        <item x="452"/>
        <item x="163"/>
        <item x="330"/>
        <item x="198"/>
        <item x="350"/>
        <item x="484"/>
        <item x="450"/>
        <item x="414"/>
        <item x="206"/>
        <item x="140"/>
        <item x="269"/>
        <item x="492"/>
        <item x="235"/>
        <item x="73"/>
        <item x="316"/>
        <item x="437"/>
        <item x="91"/>
        <item x="117"/>
        <item x="215"/>
        <item x="147"/>
        <item x="90"/>
        <item x="348"/>
        <item x="178"/>
        <item x="112"/>
        <item x="17"/>
        <item x="93"/>
        <item x="76"/>
        <item x="130"/>
        <item x="383"/>
        <item x="228"/>
        <item x="358"/>
        <item x="64"/>
        <item x="435"/>
        <item x="42"/>
        <item x="40"/>
        <item x="403"/>
        <item x="334"/>
        <item x="416"/>
        <item x="88"/>
        <item x="148"/>
        <item x="374"/>
        <item x="297"/>
        <item x="351"/>
        <item x="169"/>
        <item x="180"/>
        <item x="342"/>
        <item x="66"/>
        <item x="485"/>
        <item x="395"/>
        <item x="265"/>
        <item x="108"/>
        <item x="361"/>
        <item x="271"/>
        <item x="399"/>
        <item x="23"/>
        <item x="174"/>
        <item x="226"/>
        <item x="270"/>
        <item x="80"/>
        <item x="367"/>
        <item x="122"/>
        <item x="137"/>
        <item x="11"/>
        <item x="341"/>
        <item x="337"/>
        <item x="166"/>
        <item x="177"/>
        <item t="default"/>
      </items>
    </pivotField>
    <pivotField compact="0" numFmtId="3" showAll="0">
      <items count="501">
        <item x="313"/>
        <item x="269"/>
        <item x="401"/>
        <item x="99"/>
        <item x="492"/>
        <item x="272"/>
        <item x="215"/>
        <item x="167"/>
        <item x="163"/>
        <item x="121"/>
        <item x="362"/>
        <item x="243"/>
        <item x="213"/>
        <item x="8"/>
        <item x="294"/>
        <item x="189"/>
        <item x="319"/>
        <item x="386"/>
        <item x="11"/>
        <item x="76"/>
        <item x="482"/>
        <item x="426"/>
        <item x="186"/>
        <item x="212"/>
        <item x="459"/>
        <item x="150"/>
        <item x="371"/>
        <item x="346"/>
        <item x="216"/>
        <item x="96"/>
        <item x="139"/>
        <item x="181"/>
        <item x="15"/>
        <item x="473"/>
        <item x="233"/>
        <item x="48"/>
        <item x="353"/>
        <item x="284"/>
        <item x="126"/>
        <item x="464"/>
        <item x="405"/>
        <item x="490"/>
        <item x="7"/>
        <item x="49"/>
        <item x="1"/>
        <item x="236"/>
        <item x="244"/>
        <item x="407"/>
        <item x="472"/>
        <item x="286"/>
        <item x="117"/>
        <item x="234"/>
        <item x="123"/>
        <item x="348"/>
        <item x="454"/>
        <item x="273"/>
        <item x="495"/>
        <item x="336"/>
        <item x="389"/>
        <item x="316"/>
        <item x="338"/>
        <item x="289"/>
        <item x="498"/>
        <item x="422"/>
        <item x="366"/>
        <item x="12"/>
        <item x="175"/>
        <item x="32"/>
        <item x="30"/>
        <item x="396"/>
        <item x="242"/>
        <item x="276"/>
        <item x="278"/>
        <item x="144"/>
        <item x="416"/>
        <item x="152"/>
        <item x="253"/>
        <item x="283"/>
        <item x="469"/>
        <item x="180"/>
        <item x="6"/>
        <item x="462"/>
        <item x="71"/>
        <item x="437"/>
        <item x="494"/>
        <item x="29"/>
        <item x="232"/>
        <item x="474"/>
        <item x="267"/>
        <item x="39"/>
        <item x="340"/>
        <item x="260"/>
        <item x="471"/>
        <item x="322"/>
        <item x="169"/>
        <item x="64"/>
        <item x="191"/>
        <item x="420"/>
        <item x="14"/>
        <item x="328"/>
        <item x="365"/>
        <item x="143"/>
        <item x="154"/>
        <item x="133"/>
        <item x="52"/>
        <item x="263"/>
        <item x="285"/>
        <item x="239"/>
        <item x="36"/>
        <item x="55"/>
        <item x="61"/>
        <item x="235"/>
        <item x="308"/>
        <item x="128"/>
        <item x="57"/>
        <item x="28"/>
        <item x="145"/>
        <item x="83"/>
        <item x="357"/>
        <item x="194"/>
        <item x="91"/>
        <item x="329"/>
        <item x="417"/>
        <item x="485"/>
        <item x="440"/>
        <item x="227"/>
        <item x="321"/>
        <item x="192"/>
        <item x="361"/>
        <item x="74"/>
        <item x="38"/>
        <item x="158"/>
        <item x="318"/>
        <item x="248"/>
        <item x="84"/>
        <item x="375"/>
        <item x="224"/>
        <item x="457"/>
        <item x="393"/>
        <item x="3"/>
        <item x="403"/>
        <item x="228"/>
        <item x="178"/>
        <item x="282"/>
        <item x="415"/>
        <item x="306"/>
        <item x="75"/>
        <item x="68"/>
        <item x="427"/>
        <item x="317"/>
        <item x="201"/>
        <item x="165"/>
        <item x="452"/>
        <item x="453"/>
        <item x="447"/>
        <item x="86"/>
        <item x="314"/>
        <item x="113"/>
        <item x="356"/>
        <item x="225"/>
        <item x="296"/>
        <item x="488"/>
        <item x="279"/>
        <item x="47"/>
        <item x="203"/>
        <item x="468"/>
        <item x="288"/>
        <item x="54"/>
        <item x="430"/>
        <item x="93"/>
        <item x="484"/>
        <item x="43"/>
        <item x="252"/>
        <item x="77"/>
        <item x="342"/>
        <item x="141"/>
        <item x="171"/>
        <item x="277"/>
        <item x="246"/>
        <item x="326"/>
        <item x="351"/>
        <item x="369"/>
        <item x="73"/>
        <item x="497"/>
        <item x="418"/>
        <item x="442"/>
        <item x="254"/>
        <item x="204"/>
        <item x="237"/>
        <item x="465"/>
        <item x="168"/>
        <item x="327"/>
        <item x="78"/>
        <item x="298"/>
        <item x="460"/>
        <item x="429"/>
        <item x="226"/>
        <item x="332"/>
        <item x="53"/>
        <item x="358"/>
        <item x="290"/>
        <item x="190"/>
        <item x="487"/>
        <item x="219"/>
        <item x="18"/>
        <item x="446"/>
        <item x="179"/>
        <item x="2"/>
        <item x="412"/>
        <item x="206"/>
        <item x="35"/>
        <item x="45"/>
        <item x="37"/>
        <item x="176"/>
        <item x="325"/>
        <item x="157"/>
        <item x="410"/>
        <item x="333"/>
        <item x="481"/>
        <item x="378"/>
        <item x="95"/>
        <item x="335"/>
        <item x="458"/>
        <item x="24"/>
        <item x="385"/>
        <item x="449"/>
        <item x="370"/>
        <item x="480"/>
        <item x="305"/>
        <item x="211"/>
        <item x="409"/>
        <item x="160"/>
        <item x="388"/>
        <item x="255"/>
        <item x="161"/>
        <item x="104"/>
        <item x="0"/>
        <item x="441"/>
        <item x="97"/>
        <item x="257"/>
        <item x="59"/>
        <item x="195"/>
        <item x="79"/>
        <item x="182"/>
        <item x="337"/>
        <item x="119"/>
        <item x="281"/>
        <item x="368"/>
        <item x="382"/>
        <item x="310"/>
        <item x="90"/>
        <item x="13"/>
        <item x="159"/>
        <item x="264"/>
        <item x="461"/>
        <item x="5"/>
        <item x="200"/>
        <item x="112"/>
        <item x="146"/>
        <item x="367"/>
        <item x="400"/>
        <item x="20"/>
        <item x="271"/>
        <item x="177"/>
        <item x="411"/>
        <item x="98"/>
        <item x="127"/>
        <item x="166"/>
        <item x="147"/>
        <item x="377"/>
        <item x="66"/>
        <item x="184"/>
        <item x="421"/>
        <item x="303"/>
        <item x="349"/>
        <item x="372"/>
        <item x="218"/>
        <item x="183"/>
        <item x="89"/>
        <item x="23"/>
        <item x="111"/>
        <item x="428"/>
        <item x="230"/>
        <item x="106"/>
        <item x="19"/>
        <item x="359"/>
        <item x="295"/>
        <item x="343"/>
        <item x="63"/>
        <item x="172"/>
        <item x="438"/>
        <item x="245"/>
        <item x="62"/>
        <item x="137"/>
        <item x="208"/>
        <item x="92"/>
        <item x="404"/>
        <item x="82"/>
        <item x="70"/>
        <item x="470"/>
        <item x="22"/>
        <item x="222"/>
        <item x="131"/>
        <item x="125"/>
        <item x="81"/>
        <item x="499"/>
        <item x="390"/>
        <item x="251"/>
        <item x="198"/>
        <item x="85"/>
        <item x="320"/>
        <item x="435"/>
        <item x="249"/>
        <item x="466"/>
        <item x="174"/>
        <item x="432"/>
        <item x="419"/>
        <item x="27"/>
        <item x="132"/>
        <item x="443"/>
        <item x="60"/>
        <item x="394"/>
        <item x="26"/>
        <item x="108"/>
        <item x="376"/>
        <item x="287"/>
        <item x="58"/>
        <item x="34"/>
        <item x="100"/>
        <item x="486"/>
        <item x="110"/>
        <item x="266"/>
        <item x="451"/>
        <item x="196"/>
        <item x="399"/>
        <item x="229"/>
        <item x="120"/>
        <item x="408"/>
        <item x="450"/>
        <item x="142"/>
        <item x="118"/>
        <item x="330"/>
        <item x="476"/>
        <item x="197"/>
        <item x="483"/>
        <item x="103"/>
        <item x="424"/>
        <item x="496"/>
        <item x="297"/>
        <item x="364"/>
        <item x="88"/>
        <item x="344"/>
        <item x="149"/>
        <item x="202"/>
        <item x="315"/>
        <item x="31"/>
        <item x="265"/>
        <item x="238"/>
        <item x="56"/>
        <item x="87"/>
        <item x="193"/>
        <item x="270"/>
        <item x="324"/>
        <item x="21"/>
        <item x="258"/>
        <item x="44"/>
        <item x="241"/>
        <item x="312"/>
        <item x="205"/>
        <item x="339"/>
        <item x="493"/>
        <item x="187"/>
        <item x="240"/>
        <item x="402"/>
        <item x="413"/>
        <item x="50"/>
        <item x="436"/>
        <item x="156"/>
        <item x="292"/>
        <item x="148"/>
        <item x="67"/>
        <item x="94"/>
        <item x="124"/>
        <item x="301"/>
        <item x="136"/>
        <item x="363"/>
        <item x="380"/>
        <item x="395"/>
        <item x="491"/>
        <item x="122"/>
        <item x="334"/>
        <item x="262"/>
        <item x="489"/>
        <item x="188"/>
        <item x="217"/>
        <item x="135"/>
        <item x="185"/>
        <item x="151"/>
        <item x="51"/>
        <item x="42"/>
        <item x="384"/>
        <item x="352"/>
        <item x="479"/>
        <item x="280"/>
        <item x="199"/>
        <item x="304"/>
        <item x="114"/>
        <item x="331"/>
        <item x="383"/>
        <item x="448"/>
        <item x="302"/>
        <item x="72"/>
        <item x="162"/>
        <item x="444"/>
        <item x="138"/>
        <item x="433"/>
        <item x="46"/>
        <item x="309"/>
        <item x="475"/>
        <item x="102"/>
        <item x="391"/>
        <item x="105"/>
        <item x="414"/>
        <item x="360"/>
        <item x="17"/>
        <item x="40"/>
        <item x="214"/>
        <item x="107"/>
        <item x="275"/>
        <item x="231"/>
        <item x="247"/>
        <item x="434"/>
        <item x="423"/>
        <item x="41"/>
        <item x="307"/>
        <item x="398"/>
        <item x="431"/>
        <item x="65"/>
        <item x="381"/>
        <item x="155"/>
        <item x="478"/>
        <item x="116"/>
        <item x="374"/>
        <item x="373"/>
        <item x="323"/>
        <item x="9"/>
        <item x="220"/>
        <item x="379"/>
        <item x="109"/>
        <item x="16"/>
        <item x="445"/>
        <item x="392"/>
        <item x="25"/>
        <item x="153"/>
        <item x="80"/>
        <item x="425"/>
        <item x="355"/>
        <item x="207"/>
        <item x="33"/>
        <item x="101"/>
        <item x="439"/>
        <item x="261"/>
        <item x="4"/>
        <item x="173"/>
        <item x="210"/>
        <item x="69"/>
        <item x="274"/>
        <item x="293"/>
        <item x="300"/>
        <item x="455"/>
        <item x="347"/>
        <item x="406"/>
        <item x="256"/>
        <item x="397"/>
        <item x="170"/>
        <item x="463"/>
        <item x="354"/>
        <item x="456"/>
        <item x="345"/>
        <item x="259"/>
        <item x="10"/>
        <item x="209"/>
        <item x="291"/>
        <item x="299"/>
        <item x="134"/>
        <item x="350"/>
        <item x="115"/>
        <item x="268"/>
        <item x="341"/>
        <item x="387"/>
        <item x="130"/>
        <item x="250"/>
        <item x="221"/>
        <item x="311"/>
        <item x="164"/>
        <item x="467"/>
        <item x="140"/>
        <item x="223"/>
        <item x="129"/>
        <item x="477"/>
        <item t="default"/>
      </items>
    </pivotField>
    <pivotField compact="0" numFmtId="3" showAll="0">
      <items count="483">
        <item x="346"/>
        <item x="407"/>
        <item x="281"/>
        <item x="444"/>
        <item x="345"/>
        <item x="315"/>
        <item x="284"/>
        <item x="338"/>
        <item x="335"/>
        <item x="266"/>
        <item x="464"/>
        <item x="1"/>
        <item x="168"/>
        <item x="188"/>
        <item x="300"/>
        <item x="12"/>
        <item x="243"/>
        <item x="187"/>
        <item x="280"/>
        <item x="174"/>
        <item x="269"/>
        <item x="116"/>
        <item x="278"/>
        <item x="404"/>
        <item x="38"/>
        <item x="125"/>
        <item x="83"/>
        <item x="306"/>
        <item x="90"/>
        <item x="328"/>
        <item x="217"/>
        <item x="438"/>
        <item x="180"/>
        <item x="157"/>
        <item x="417"/>
        <item x="70"/>
        <item x="223"/>
        <item x="225"/>
        <item x="6"/>
        <item x="194"/>
        <item x="15"/>
        <item x="375"/>
        <item x="199"/>
        <item x="252"/>
        <item x="144"/>
        <item x="387"/>
        <item x="88"/>
        <item x="356"/>
        <item x="43"/>
        <item x="385"/>
        <item x="46"/>
        <item x="179"/>
        <item x="98"/>
        <item x="357"/>
        <item x="398"/>
        <item x="109"/>
        <item x="20"/>
        <item x="160"/>
        <item x="222"/>
        <item x="218"/>
        <item x="195"/>
        <item x="476"/>
        <item x="227"/>
        <item x="334"/>
        <item x="214"/>
        <item x="142"/>
        <item x="478"/>
        <item x="446"/>
        <item x="226"/>
        <item x="390"/>
        <item x="201"/>
        <item x="24"/>
        <item x="156"/>
        <item x="86"/>
        <item x="307"/>
        <item x="84"/>
        <item x="313"/>
        <item x="138"/>
        <item x="205"/>
        <item x="124"/>
        <item x="383"/>
        <item x="21"/>
        <item x="136"/>
        <item x="213"/>
        <item x="185"/>
        <item x="312"/>
        <item x="240"/>
        <item x="35"/>
        <item x="449"/>
        <item x="122"/>
        <item x="162"/>
        <item x="198"/>
        <item x="190"/>
        <item x="113"/>
        <item x="60"/>
        <item x="426"/>
        <item x="326"/>
        <item x="351"/>
        <item x="63"/>
        <item x="259"/>
        <item x="282"/>
        <item x="447"/>
        <item x="49"/>
        <item x="427"/>
        <item x="166"/>
        <item x="366"/>
        <item x="74"/>
        <item x="92"/>
        <item x="360"/>
        <item x="106"/>
        <item x="413"/>
        <item x="75"/>
        <item x="409"/>
        <item x="112"/>
        <item x="104"/>
        <item x="352"/>
        <item x="149"/>
        <item x="145"/>
        <item x="425"/>
        <item x="87"/>
        <item x="14"/>
        <item x="289"/>
        <item x="394"/>
        <item x="339"/>
        <item x="361"/>
        <item x="353"/>
        <item x="8"/>
        <item x="120"/>
        <item x="340"/>
        <item x="11"/>
        <item x="260"/>
        <item x="76"/>
        <item x="256"/>
        <item x="53"/>
        <item x="228"/>
        <item x="241"/>
        <item x="466"/>
        <item x="321"/>
        <item x="211"/>
        <item x="412"/>
        <item x="28"/>
        <item x="203"/>
        <item x="433"/>
        <item x="389"/>
        <item x="54"/>
        <item x="403"/>
        <item x="318"/>
        <item x="457"/>
        <item x="432"/>
        <item x="30"/>
        <item x="453"/>
        <item x="58"/>
        <item x="237"/>
        <item x="100"/>
        <item x="182"/>
        <item x="164"/>
        <item x="192"/>
        <item x="238"/>
        <item x="264"/>
        <item x="108"/>
        <item x="64"/>
        <item x="210"/>
        <item x="277"/>
        <item x="468"/>
        <item x="103"/>
        <item x="52"/>
        <item x="292"/>
        <item x="50"/>
        <item x="209"/>
        <item x="119"/>
        <item x="55"/>
        <item x="290"/>
        <item x="141"/>
        <item x="458"/>
        <item x="242"/>
        <item x="415"/>
        <item x="320"/>
        <item x="465"/>
        <item x="72"/>
        <item x="107"/>
        <item x="153"/>
        <item x="235"/>
        <item x="301"/>
        <item x="254"/>
        <item x="184"/>
        <item x="17"/>
        <item x="143"/>
        <item x="250"/>
        <item x="414"/>
        <item x="93"/>
        <item x="460"/>
        <item x="469"/>
        <item x="274"/>
        <item x="95"/>
        <item x="376"/>
        <item x="448"/>
        <item x="479"/>
        <item x="324"/>
        <item x="396"/>
        <item x="73"/>
        <item x="39"/>
        <item x="384"/>
        <item x="7"/>
        <item x="248"/>
        <item x="461"/>
        <item x="135"/>
        <item x="365"/>
        <item x="31"/>
        <item x="29"/>
        <item x="231"/>
        <item x="303"/>
        <item x="257"/>
        <item x="380"/>
        <item x="474"/>
        <item x="196"/>
        <item x="78"/>
        <item x="48"/>
        <item x="272"/>
        <item x="26"/>
        <item x="392"/>
        <item x="456"/>
        <item x="97"/>
        <item x="177"/>
        <item x="310"/>
        <item x="47"/>
        <item x="69"/>
        <item x="146"/>
        <item x="13"/>
        <item x="51"/>
        <item x="158"/>
        <item x="59"/>
        <item x="234"/>
        <item x="251"/>
        <item x="167"/>
        <item x="56"/>
        <item x="319"/>
        <item x="455"/>
        <item x="480"/>
        <item x="232"/>
        <item x="379"/>
        <item x="110"/>
        <item x="57"/>
        <item x="151"/>
        <item x="439"/>
        <item x="327"/>
        <item x="399"/>
        <item x="279"/>
        <item x="442"/>
        <item x="336"/>
        <item x="132"/>
        <item x="249"/>
        <item x="370"/>
        <item x="330"/>
        <item x="189"/>
        <item x="295"/>
        <item x="161"/>
        <item x="350"/>
        <item x="42"/>
        <item x="220"/>
        <item x="424"/>
        <item x="230"/>
        <item x="175"/>
        <item x="267"/>
        <item x="118"/>
        <item x="171"/>
        <item x="347"/>
        <item x="82"/>
        <item x="405"/>
        <item x="286"/>
        <item x="239"/>
        <item x="322"/>
        <item x="467"/>
        <item x="332"/>
        <item x="475"/>
        <item x="421"/>
        <item x="27"/>
        <item x="348"/>
        <item x="37"/>
        <item x="288"/>
        <item x="129"/>
        <item x="61"/>
        <item x="193"/>
        <item x="451"/>
        <item x="462"/>
        <item x="245"/>
        <item x="3"/>
        <item x="202"/>
        <item x="233"/>
        <item x="170"/>
        <item x="207"/>
        <item x="163"/>
        <item x="127"/>
        <item x="212"/>
        <item x="428"/>
        <item x="378"/>
        <item x="358"/>
        <item x="67"/>
        <item x="349"/>
        <item x="165"/>
        <item x="419"/>
        <item x="81"/>
        <item x="200"/>
        <item x="18"/>
        <item x="105"/>
        <item x="329"/>
        <item x="121"/>
        <item x="246"/>
        <item x="372"/>
        <item x="299"/>
        <item x="393"/>
        <item x="96"/>
        <item x="94"/>
        <item x="80"/>
        <item x="85"/>
        <item x="206"/>
        <item x="178"/>
        <item x="343"/>
        <item x="452"/>
        <item x="445"/>
        <item x="443"/>
        <item x="273"/>
        <item x="296"/>
        <item x="402"/>
        <item x="440"/>
        <item x="261"/>
        <item x="155"/>
        <item x="253"/>
        <item x="262"/>
        <item x="311"/>
        <item x="68"/>
        <item x="283"/>
        <item x="134"/>
        <item x="435"/>
        <item x="244"/>
        <item x="66"/>
        <item x="101"/>
        <item x="298"/>
        <item x="271"/>
        <item x="472"/>
        <item x="333"/>
        <item x="355"/>
        <item x="258"/>
        <item x="77"/>
        <item x="44"/>
        <item x="140"/>
        <item x="354"/>
        <item x="471"/>
        <item x="275"/>
        <item x="181"/>
        <item x="22"/>
        <item x="34"/>
        <item x="102"/>
        <item x="422"/>
        <item x="99"/>
        <item x="454"/>
        <item x="23"/>
        <item x="204"/>
        <item x="216"/>
        <item x="176"/>
        <item x="371"/>
        <item x="291"/>
        <item x="45"/>
        <item x="308"/>
        <item x="293"/>
        <item x="183"/>
        <item x="450"/>
        <item x="325"/>
        <item x="341"/>
        <item x="367"/>
        <item x="285"/>
        <item x="401"/>
        <item x="19"/>
        <item x="368"/>
        <item x="152"/>
        <item x="436"/>
        <item x="263"/>
        <item x="224"/>
        <item x="5"/>
        <item x="36"/>
        <item x="294"/>
        <item x="397"/>
        <item x="9"/>
        <item x="172"/>
        <item x="416"/>
        <item x="373"/>
        <item x="400"/>
        <item x="186"/>
        <item x="418"/>
        <item x="481"/>
        <item x="359"/>
        <item x="130"/>
        <item x="137"/>
        <item x="2"/>
        <item x="0"/>
        <item x="410"/>
        <item x="268"/>
        <item x="111"/>
        <item x="62"/>
        <item x="430"/>
        <item x="437"/>
        <item x="470"/>
        <item x="388"/>
        <item x="126"/>
        <item x="208"/>
        <item x="159"/>
        <item x="391"/>
        <item x="374"/>
        <item x="363"/>
        <item x="115"/>
        <item x="215"/>
        <item x="117"/>
        <item x="41"/>
        <item x="65"/>
        <item x="265"/>
        <item x="139"/>
        <item x="323"/>
        <item x="473"/>
        <item x="302"/>
        <item x="89"/>
        <item x="91"/>
        <item x="331"/>
        <item x="309"/>
        <item x="406"/>
        <item x="255"/>
        <item x="236"/>
        <item x="317"/>
        <item x="314"/>
        <item x="362"/>
        <item x="411"/>
        <item x="71"/>
        <item x="344"/>
        <item x="408"/>
        <item x="377"/>
        <item x="191"/>
        <item x="173"/>
        <item x="150"/>
        <item x="33"/>
        <item x="128"/>
        <item x="369"/>
        <item x="270"/>
        <item x="287"/>
        <item x="123"/>
        <item x="429"/>
        <item x="364"/>
        <item x="131"/>
        <item x="423"/>
        <item x="276"/>
        <item x="147"/>
        <item x="477"/>
        <item x="304"/>
        <item x="148"/>
        <item x="382"/>
        <item x="25"/>
        <item x="297"/>
        <item x="459"/>
        <item x="197"/>
        <item x="154"/>
        <item x="229"/>
        <item x="395"/>
        <item x="219"/>
        <item x="32"/>
        <item x="420"/>
        <item x="337"/>
        <item x="221"/>
        <item x="434"/>
        <item x="247"/>
        <item x="316"/>
        <item x="463"/>
        <item x="305"/>
        <item x="342"/>
        <item x="381"/>
        <item x="386"/>
        <item x="79"/>
        <item x="114"/>
        <item x="4"/>
        <item x="441"/>
        <item x="40"/>
        <item x="133"/>
        <item x="16"/>
        <item x="169"/>
        <item x="431"/>
        <item x="10"/>
        <item t="default"/>
      </items>
    </pivotField>
    <pivotField dataField="1" compact="0" numFmtId="3" showAll="0">
      <items count="352">
        <item x="48"/>
        <item x="311"/>
        <item x="231"/>
        <item x="134"/>
        <item x="13"/>
        <item x="189"/>
        <item x="138"/>
        <item x="120"/>
        <item x="275"/>
        <item x="254"/>
        <item x="276"/>
        <item x="9"/>
        <item x="14"/>
        <item x="37"/>
        <item x="1"/>
        <item x="24"/>
        <item x="81"/>
        <item x="338"/>
        <item x="88"/>
        <item x="35"/>
        <item x="262"/>
        <item x="285"/>
        <item x="67"/>
        <item x="113"/>
        <item x="333"/>
        <item x="145"/>
        <item x="252"/>
        <item x="147"/>
        <item x="85"/>
        <item x="22"/>
        <item x="122"/>
        <item x="186"/>
        <item x="43"/>
        <item x="330"/>
        <item x="156"/>
        <item x="327"/>
        <item x="219"/>
        <item x="142"/>
        <item x="278"/>
        <item x="305"/>
        <item x="173"/>
        <item x="221"/>
        <item x="248"/>
        <item x="126"/>
        <item x="168"/>
        <item x="232"/>
        <item x="137"/>
        <item x="202"/>
        <item x="118"/>
        <item x="79"/>
        <item x="205"/>
        <item x="199"/>
        <item x="19"/>
        <item x="273"/>
        <item x="132"/>
        <item x="150"/>
        <item x="230"/>
        <item x="12"/>
        <item x="347"/>
        <item x="242"/>
        <item x="52"/>
        <item x="233"/>
        <item x="176"/>
        <item x="78"/>
        <item x="334"/>
        <item x="267"/>
        <item x="42"/>
        <item x="329"/>
        <item x="110"/>
        <item x="15"/>
        <item x="11"/>
        <item x="91"/>
        <item x="310"/>
        <item x="131"/>
        <item x="128"/>
        <item x="127"/>
        <item x="256"/>
        <item x="100"/>
        <item x="72"/>
        <item x="188"/>
        <item x="349"/>
        <item x="161"/>
        <item x="159"/>
        <item x="106"/>
        <item x="160"/>
        <item x="66"/>
        <item x="255"/>
        <item x="178"/>
        <item x="171"/>
        <item x="158"/>
        <item x="59"/>
        <item x="235"/>
        <item x="195"/>
        <item x="213"/>
        <item x="172"/>
        <item x="250"/>
        <item x="83"/>
        <item x="269"/>
        <item x="332"/>
        <item x="146"/>
        <item x="264"/>
        <item x="40"/>
        <item x="182"/>
        <item x="153"/>
        <item x="107"/>
        <item x="209"/>
        <item x="117"/>
        <item x="281"/>
        <item x="229"/>
        <item x="237"/>
        <item x="36"/>
        <item x="51"/>
        <item x="27"/>
        <item x="191"/>
        <item x="325"/>
        <item x="238"/>
        <item x="30"/>
        <item x="206"/>
        <item x="62"/>
        <item x="104"/>
        <item x="157"/>
        <item x="39"/>
        <item x="190"/>
        <item x="6"/>
        <item x="197"/>
        <item x="277"/>
        <item x="125"/>
        <item x="82"/>
        <item x="139"/>
        <item x="187"/>
        <item x="177"/>
        <item x="63"/>
        <item x="115"/>
        <item x="46"/>
        <item x="284"/>
        <item x="50"/>
        <item x="23"/>
        <item x="93"/>
        <item x="164"/>
        <item x="298"/>
        <item x="116"/>
        <item x="184"/>
        <item x="143"/>
        <item x="74"/>
        <item x="111"/>
        <item x="92"/>
        <item x="253"/>
        <item x="20"/>
        <item x="318"/>
        <item x="306"/>
        <item x="295"/>
        <item x="7"/>
        <item x="223"/>
        <item x="179"/>
        <item x="96"/>
        <item x="45"/>
        <item x="239"/>
        <item x="154"/>
        <item x="345"/>
        <item x="224"/>
        <item x="323"/>
        <item x="21"/>
        <item x="350"/>
        <item x="249"/>
        <item x="53"/>
        <item x="192"/>
        <item x="69"/>
        <item x="8"/>
        <item x="57"/>
        <item x="71"/>
        <item x="301"/>
        <item x="49"/>
        <item x="29"/>
        <item x="3"/>
        <item x="226"/>
        <item x="344"/>
        <item x="245"/>
        <item x="101"/>
        <item x="98"/>
        <item x="17"/>
        <item x="194"/>
        <item x="270"/>
        <item x="307"/>
        <item x="263"/>
        <item x="167"/>
        <item x="200"/>
        <item x="251"/>
        <item x="217"/>
        <item x="151"/>
        <item x="165"/>
        <item x="319"/>
        <item x="317"/>
        <item x="212"/>
        <item x="87"/>
        <item x="265"/>
        <item x="240"/>
        <item x="271"/>
        <item x="214"/>
        <item x="119"/>
        <item x="257"/>
        <item x="103"/>
        <item x="56"/>
        <item x="339"/>
        <item x="31"/>
        <item x="216"/>
        <item x="326"/>
        <item x="55"/>
        <item x="102"/>
        <item x="207"/>
        <item x="236"/>
        <item x="175"/>
        <item x="316"/>
        <item x="208"/>
        <item x="54"/>
        <item x="86"/>
        <item x="287"/>
        <item x="259"/>
        <item x="109"/>
        <item x="341"/>
        <item x="80"/>
        <item x="163"/>
        <item x="4"/>
        <item x="90"/>
        <item x="211"/>
        <item x="193"/>
        <item x="346"/>
        <item x="170"/>
        <item x="304"/>
        <item x="288"/>
        <item x="76"/>
        <item x="174"/>
        <item x="32"/>
        <item x="258"/>
        <item x="135"/>
        <item x="312"/>
        <item x="44"/>
        <item x="293"/>
        <item x="290"/>
        <item x="291"/>
        <item x="99"/>
        <item x="246"/>
        <item x="260"/>
        <item x="114"/>
        <item x="70"/>
        <item x="201"/>
        <item x="26"/>
        <item x="234"/>
        <item x="348"/>
        <item x="47"/>
        <item x="343"/>
        <item x="183"/>
        <item x="28"/>
        <item x="112"/>
        <item x="204"/>
        <item x="300"/>
        <item x="272"/>
        <item x="58"/>
        <item x="133"/>
        <item x="121"/>
        <item x="141"/>
        <item x="198"/>
        <item x="321"/>
        <item x="97"/>
        <item x="225"/>
        <item x="335"/>
        <item x="222"/>
        <item x="95"/>
        <item x="299"/>
        <item x="60"/>
        <item x="38"/>
        <item x="296"/>
        <item x="279"/>
        <item x="140"/>
        <item x="289"/>
        <item x="144"/>
        <item x="18"/>
        <item x="340"/>
        <item x="308"/>
        <item x="261"/>
        <item x="149"/>
        <item x="283"/>
        <item x="322"/>
        <item x="162"/>
        <item x="215"/>
        <item x="94"/>
        <item x="68"/>
        <item x="266"/>
        <item x="64"/>
        <item x="247"/>
        <item x="77"/>
        <item x="336"/>
        <item x="210"/>
        <item x="324"/>
        <item x="130"/>
        <item x="342"/>
        <item x="227"/>
        <item x="108"/>
        <item x="89"/>
        <item x="169"/>
        <item x="294"/>
        <item x="309"/>
        <item x="65"/>
        <item x="84"/>
        <item x="274"/>
        <item x="268"/>
        <item x="34"/>
        <item x="73"/>
        <item x="241"/>
        <item x="10"/>
        <item x="218"/>
        <item x="320"/>
        <item x="185"/>
        <item x="155"/>
        <item x="75"/>
        <item x="5"/>
        <item x="181"/>
        <item x="302"/>
        <item x="286"/>
        <item x="152"/>
        <item x="124"/>
        <item x="196"/>
        <item x="203"/>
        <item x="314"/>
        <item x="61"/>
        <item x="297"/>
        <item x="220"/>
        <item x="105"/>
        <item x="180"/>
        <item x="292"/>
        <item x="2"/>
        <item x="244"/>
        <item x="337"/>
        <item x="313"/>
        <item x="0"/>
        <item x="280"/>
        <item x="328"/>
        <item x="123"/>
        <item x="166"/>
        <item x="303"/>
        <item x="129"/>
        <item x="148"/>
        <item x="315"/>
        <item x="243"/>
        <item x="228"/>
        <item x="331"/>
        <item x="282"/>
        <item x="41"/>
        <item x="16"/>
        <item x="25"/>
        <item x="33"/>
        <item x="136"/>
        <item t="default"/>
      </items>
    </pivotField>
    <pivotField dataField="1" compact="0" showAll="0">
      <items count="501">
        <item x="135"/>
        <item x="49"/>
        <item x="9"/>
        <item x="229"/>
        <item x="96"/>
        <item x="125"/>
        <item x="253"/>
        <item x="331"/>
        <item x="1"/>
        <item x="394"/>
        <item x="14"/>
        <item x="190"/>
        <item x="242"/>
        <item x="69"/>
        <item x="13"/>
        <item x="22"/>
        <item x="321"/>
        <item x="360"/>
        <item x="418"/>
        <item x="153"/>
        <item x="430"/>
        <item x="183"/>
        <item x="361"/>
        <item x="366"/>
        <item x="416"/>
        <item x="283"/>
        <item x="272"/>
        <item x="156"/>
        <item x="179"/>
        <item x="93"/>
        <item x="270"/>
        <item x="269"/>
        <item x="144"/>
        <item x="476"/>
        <item x="437"/>
        <item x="312"/>
        <item x="87"/>
        <item x="420"/>
        <item x="188"/>
        <item x="436"/>
        <item x="157"/>
        <item x="291"/>
        <item x="336"/>
        <item x="284"/>
        <item x="318"/>
        <item x="94"/>
        <item x="24"/>
        <item x="42"/>
        <item x="224"/>
        <item x="448"/>
        <item x="37"/>
        <item x="91"/>
        <item x="286"/>
        <item x="303"/>
        <item x="463"/>
        <item x="35"/>
        <item x="376"/>
        <item x="257"/>
        <item x="497"/>
        <item x="110"/>
        <item x="185"/>
        <item x="349"/>
        <item x="396"/>
        <item x="166"/>
        <item x="409"/>
        <item x="450"/>
        <item x="54"/>
        <item x="99"/>
        <item x="220"/>
        <item x="169"/>
        <item x="208"/>
        <item x="84"/>
        <item x="481"/>
        <item x="71"/>
        <item x="466"/>
        <item x="19"/>
        <item x="122"/>
        <item x="139"/>
        <item x="246"/>
        <item x="168"/>
        <item x="460"/>
        <item x="146"/>
        <item x="212"/>
        <item x="458"/>
        <item x="374"/>
        <item x="296"/>
        <item x="68"/>
        <item x="417"/>
        <item x="354"/>
        <item x="180"/>
        <item x="165"/>
        <item x="325"/>
        <item x="452"/>
        <item x="415"/>
        <item x="342"/>
        <item x="478"/>
        <item x="444"/>
        <item x="310"/>
        <item x="351"/>
        <item x="151"/>
        <item x="455"/>
        <item x="287"/>
        <item x="282"/>
        <item x="44"/>
        <item x="206"/>
        <item x="480"/>
        <item x="249"/>
        <item x="27"/>
        <item x="161"/>
        <item x="203"/>
        <item x="147"/>
        <item x="85"/>
        <item x="462"/>
        <item x="494"/>
        <item x="132"/>
        <item x="150"/>
        <item x="273"/>
        <item x="117"/>
        <item x="240"/>
        <item x="260"/>
        <item x="333"/>
        <item x="15"/>
        <item x="53"/>
        <item x="12"/>
        <item x="187"/>
        <item x="189"/>
        <item x="232"/>
        <item x="158"/>
        <item x="400"/>
        <item x="196"/>
        <item x="243"/>
        <item x="123"/>
        <item x="89"/>
        <item x="77"/>
        <item x="43"/>
        <item x="126"/>
        <item x="175"/>
        <item x="492"/>
        <item x="192"/>
        <item x="52"/>
        <item x="289"/>
        <item x="40"/>
        <item x="227"/>
        <item x="314"/>
        <item x="228"/>
        <item x="365"/>
        <item x="344"/>
        <item x="237"/>
        <item x="446"/>
        <item x="370"/>
        <item x="429"/>
        <item x="116"/>
        <item x="36"/>
        <item x="301"/>
        <item x="194"/>
        <item x="216"/>
        <item x="172"/>
        <item x="364"/>
        <item x="128"/>
        <item x="182"/>
        <item x="226"/>
        <item x="353"/>
        <item x="214"/>
        <item x="414"/>
        <item x="207"/>
        <item x="233"/>
        <item x="356"/>
        <item x="322"/>
        <item x="359"/>
        <item x="11"/>
        <item x="261"/>
        <item x="234"/>
        <item x="343"/>
        <item x="426"/>
        <item x="23"/>
        <item x="79"/>
        <item x="281"/>
        <item x="464"/>
        <item x="222"/>
        <item x="64"/>
        <item x="338"/>
        <item x="145"/>
        <item x="181"/>
        <item x="111"/>
        <item x="51"/>
        <item x="346"/>
        <item x="305"/>
        <item x="186"/>
        <item x="469"/>
        <item x="184"/>
        <item x="358"/>
        <item x="114"/>
        <item x="410"/>
        <item x="215"/>
        <item x="316"/>
        <item x="213"/>
        <item x="290"/>
        <item x="61"/>
        <item x="47"/>
        <item x="59"/>
        <item x="459"/>
        <item x="285"/>
        <item x="219"/>
        <item x="323"/>
        <item x="80"/>
        <item x="50"/>
        <item x="439"/>
        <item x="295"/>
        <item x="55"/>
        <item x="371"/>
        <item x="324"/>
        <item x="262"/>
        <item x="427"/>
        <item x="225"/>
        <item x="389"/>
        <item x="276"/>
        <item x="461"/>
        <item x="347"/>
        <item x="393"/>
        <item x="197"/>
        <item x="8"/>
        <item x="428"/>
        <item x="292"/>
        <item x="441"/>
        <item x="254"/>
        <item x="130"/>
        <item x="375"/>
        <item x="201"/>
        <item x="39"/>
        <item x="337"/>
        <item x="320"/>
        <item x="275"/>
        <item x="484"/>
        <item x="293"/>
        <item x="7"/>
        <item x="202"/>
        <item x="200"/>
        <item x="482"/>
        <item x="231"/>
        <item x="385"/>
        <item x="6"/>
        <item x="167"/>
        <item x="369"/>
        <item x="327"/>
        <item x="363"/>
        <item x="348"/>
        <item x="297"/>
        <item x="335"/>
        <item x="496"/>
        <item x="209"/>
        <item x="32"/>
        <item x="308"/>
        <item x="404"/>
        <item x="473"/>
        <item x="30"/>
        <item x="255"/>
        <item x="449"/>
        <item x="133"/>
        <item x="355"/>
        <item x="294"/>
        <item x="100"/>
        <item x="339"/>
        <item x="195"/>
        <item x="251"/>
        <item x="137"/>
        <item x="105"/>
        <item x="131"/>
        <item x="75"/>
        <item x="88"/>
        <item x="143"/>
        <item x="57"/>
        <item x="163"/>
        <item x="453"/>
        <item x="298"/>
        <item x="387"/>
        <item x="411"/>
        <item x="4"/>
        <item x="244"/>
        <item x="107"/>
        <item x="21"/>
        <item x="29"/>
        <item x="315"/>
        <item x="134"/>
        <item x="328"/>
        <item x="173"/>
        <item x="313"/>
        <item x="124"/>
        <item x="129"/>
        <item x="258"/>
        <item x="457"/>
        <item x="73"/>
        <item x="152"/>
        <item x="319"/>
        <item x="493"/>
        <item x="65"/>
        <item x="334"/>
        <item x="422"/>
        <item x="205"/>
        <item x="288"/>
        <item x="488"/>
        <item x="403"/>
        <item x="108"/>
        <item x="495"/>
        <item x="20"/>
        <item x="221"/>
        <item x="399"/>
        <item x="70"/>
        <item x="121"/>
        <item x="104"/>
        <item x="300"/>
        <item x="109"/>
        <item x="103"/>
        <item x="176"/>
        <item x="113"/>
        <item x="171"/>
        <item x="309"/>
        <item x="390"/>
        <item x="101"/>
        <item x="211"/>
        <item x="264"/>
        <item x="95"/>
        <item x="431"/>
        <item x="112"/>
        <item x="499"/>
        <item x="267"/>
        <item x="31"/>
        <item x="398"/>
        <item x="74"/>
        <item x="326"/>
        <item x="142"/>
        <item x="401"/>
        <item x="490"/>
        <item x="440"/>
        <item x="76"/>
        <item x="18"/>
        <item x="277"/>
        <item x="263"/>
        <item x="432"/>
        <item x="230"/>
        <item x="405"/>
        <item x="239"/>
        <item x="46"/>
        <item x="259"/>
        <item x="198"/>
        <item x="395"/>
        <item x="265"/>
        <item x="489"/>
        <item x="118"/>
        <item x="236"/>
        <item x="434"/>
        <item x="479"/>
        <item x="306"/>
        <item x="477"/>
        <item x="149"/>
        <item x="120"/>
        <item x="138"/>
        <item x="278"/>
        <item x="58"/>
        <item x="357"/>
        <item x="256"/>
        <item x="136"/>
        <item x="465"/>
        <item x="472"/>
        <item x="162"/>
        <item x="17"/>
        <item x="210"/>
        <item x="86"/>
        <item x="3"/>
        <item x="178"/>
        <item x="56"/>
        <item x="408"/>
        <item x="447"/>
        <item x="266"/>
        <item x="92"/>
        <item x="304"/>
        <item x="248"/>
        <item x="317"/>
        <item x="332"/>
        <item x="491"/>
        <item x="419"/>
        <item x="10"/>
        <item x="340"/>
        <item x="470"/>
        <item x="330"/>
        <item x="468"/>
        <item x="350"/>
        <item x="299"/>
        <item x="485"/>
        <item x="380"/>
        <item x="98"/>
        <item x="352"/>
        <item x="119"/>
        <item x="252"/>
        <item x="160"/>
        <item x="378"/>
        <item x="311"/>
        <item x="235"/>
        <item x="45"/>
        <item x="48"/>
        <item x="474"/>
        <item x="425"/>
        <item x="362"/>
        <item x="379"/>
        <item x="487"/>
        <item x="106"/>
        <item x="115"/>
        <item x="386"/>
        <item x="164"/>
        <item x="274"/>
        <item x="383"/>
        <item x="83"/>
        <item x="382"/>
        <item x="329"/>
        <item x="28"/>
        <item x="62"/>
        <item x="407"/>
        <item x="159"/>
        <item x="97"/>
        <item x="245"/>
        <item x="391"/>
        <item x="82"/>
        <item x="127"/>
        <item x="486"/>
        <item x="154"/>
        <item x="341"/>
        <item x="78"/>
        <item x="26"/>
        <item x="438"/>
        <item x="397"/>
        <item x="377"/>
        <item x="421"/>
        <item x="199"/>
        <item x="498"/>
        <item x="483"/>
        <item x="402"/>
        <item x="218"/>
        <item x="191"/>
        <item x="435"/>
        <item x="140"/>
        <item x="241"/>
        <item x="60"/>
        <item x="72"/>
        <item x="443"/>
        <item x="66"/>
        <item x="38"/>
        <item x="454"/>
        <item x="279"/>
        <item x="442"/>
        <item x="467"/>
        <item x="102"/>
        <item x="381"/>
        <item x="367"/>
        <item x="471"/>
        <item x="177"/>
        <item x="5"/>
        <item x="412"/>
        <item x="373"/>
        <item x="280"/>
        <item x="247"/>
        <item x="193"/>
        <item x="141"/>
        <item x="413"/>
        <item x="302"/>
        <item x="25"/>
        <item x="388"/>
        <item x="345"/>
        <item x="204"/>
        <item x="368"/>
        <item x="271"/>
        <item x="250"/>
        <item x="90"/>
        <item x="372"/>
        <item x="67"/>
        <item x="34"/>
        <item x="384"/>
        <item x="2"/>
        <item x="223"/>
        <item x="268"/>
        <item x="433"/>
        <item x="424"/>
        <item x="174"/>
        <item x="392"/>
        <item x="238"/>
        <item x="81"/>
        <item x="217"/>
        <item x="423"/>
        <item x="63"/>
        <item x="445"/>
        <item x="0"/>
        <item x="41"/>
        <item x="307"/>
        <item x="451"/>
        <item x="475"/>
        <item x="406"/>
        <item x="170"/>
        <item x="148"/>
        <item x="33"/>
        <item x="456"/>
        <item x="16"/>
        <item x="155"/>
        <item t="default"/>
      </items>
    </pivotField>
    <pivotField compact="0" showAll="0">
      <items count="501">
        <item x="354"/>
        <item x="188"/>
        <item x="398"/>
        <item x="312"/>
        <item x="220"/>
        <item x="343"/>
        <item x="44"/>
        <item x="196"/>
        <item x="310"/>
        <item x="207"/>
        <item x="480"/>
        <item x="305"/>
        <item x="110"/>
        <item x="197"/>
        <item x="229"/>
        <item x="89"/>
        <item x="87"/>
        <item x="246"/>
        <item x="360"/>
        <item x="347"/>
        <item x="439"/>
        <item x="114"/>
        <item x="21"/>
        <item x="219"/>
        <item x="259"/>
        <item x="107"/>
        <item x="334"/>
        <item x="20"/>
        <item x="255"/>
        <item x="105"/>
        <item x="262"/>
        <item x="385"/>
        <item x="85"/>
        <item x="425"/>
        <item x="409"/>
        <item x="50"/>
        <item x="161"/>
        <item x="125"/>
        <item x="461"/>
        <item x="430"/>
        <item x="101"/>
        <item x="137"/>
        <item x="109"/>
        <item x="282"/>
        <item x="414"/>
        <item x="452"/>
        <item x="287"/>
        <item x="225"/>
        <item x="65"/>
        <item x="88"/>
        <item x="420"/>
        <item x="376"/>
        <item x="24"/>
        <item x="157"/>
        <item x="463"/>
        <item x="84"/>
        <item x="477"/>
        <item x="47"/>
        <item x="205"/>
        <item x="201"/>
        <item x="322"/>
        <item x="51"/>
        <item x="200"/>
        <item x="342"/>
        <item x="17"/>
        <item x="158"/>
        <item x="169"/>
        <item x="91"/>
        <item x="240"/>
        <item x="31"/>
        <item x="285"/>
        <item x="40"/>
        <item x="185"/>
        <item x="227"/>
        <item x="289"/>
        <item x="286"/>
        <item x="331"/>
        <item x="203"/>
        <item x="56"/>
        <item x="146"/>
        <item x="297"/>
        <item x="94"/>
        <item x="12"/>
        <item x="39"/>
        <item x="441"/>
        <item x="230"/>
        <item x="120"/>
        <item x="142"/>
        <item x="224"/>
        <item x="175"/>
        <item x="145"/>
        <item x="416"/>
        <item x="370"/>
        <item x="228"/>
        <item x="1"/>
        <item x="136"/>
        <item x="353"/>
        <item x="300"/>
        <item x="108"/>
        <item x="476"/>
        <item x="400"/>
        <item x="321"/>
        <item x="183"/>
        <item x="496"/>
        <item x="71"/>
        <item x="358"/>
        <item x="117"/>
        <item x="365"/>
        <item x="291"/>
        <item x="417"/>
        <item x="6"/>
        <item x="295"/>
        <item x="245"/>
        <item x="336"/>
        <item x="130"/>
        <item x="355"/>
        <item x="284"/>
        <item x="428"/>
        <item x="459"/>
        <item x="346"/>
        <item x="394"/>
        <item x="293"/>
        <item x="393"/>
        <item x="93"/>
        <item x="59"/>
        <item x="162"/>
        <item x="209"/>
        <item x="164"/>
        <item x="281"/>
        <item x="180"/>
        <item x="126"/>
        <item x="251"/>
        <item x="143"/>
        <item x="434"/>
        <item x="325"/>
        <item x="380"/>
        <item x="478"/>
        <item x="396"/>
        <item x="318"/>
        <item x="26"/>
        <item x="104"/>
        <item x="113"/>
        <item x="446"/>
        <item x="390"/>
        <item x="189"/>
        <item x="198"/>
        <item x="366"/>
        <item x="211"/>
        <item x="395"/>
        <item x="75"/>
        <item x="77"/>
        <item x="60"/>
        <item x="333"/>
        <item x="54"/>
        <item x="344"/>
        <item x="257"/>
        <item x="181"/>
        <item x="491"/>
        <item x="58"/>
        <item x="214"/>
        <item x="70"/>
        <item x="269"/>
        <item x="192"/>
        <item x="53"/>
        <item x="270"/>
        <item x="481"/>
        <item x="241"/>
        <item x="440"/>
        <item x="272"/>
        <item x="455"/>
        <item x="15"/>
        <item x="256"/>
        <item x="36"/>
        <item x="327"/>
        <item x="69"/>
        <item x="467"/>
        <item x="98"/>
        <item x="341"/>
        <item x="147"/>
        <item x="447"/>
        <item x="495"/>
        <item x="61"/>
        <item x="237"/>
        <item x="484"/>
        <item x="111"/>
        <item x="483"/>
        <item x="361"/>
        <item x="79"/>
        <item x="73"/>
        <item x="273"/>
        <item x="304"/>
        <item x="261"/>
        <item x="369"/>
        <item x="13"/>
        <item x="159"/>
        <item x="222"/>
        <item x="122"/>
        <item x="247"/>
        <item x="165"/>
        <item x="438"/>
        <item x="359"/>
        <item x="172"/>
        <item x="275"/>
        <item x="64"/>
        <item x="102"/>
        <item x="466"/>
        <item x="202"/>
        <item x="299"/>
        <item x="381"/>
        <item x="216"/>
        <item x="135"/>
        <item x="301"/>
        <item x="153"/>
        <item x="62"/>
        <item x="497"/>
        <item x="173"/>
        <item x="462"/>
        <item x="156"/>
        <item x="413"/>
        <item x="14"/>
        <item x="46"/>
        <item x="306"/>
        <item x="67"/>
        <item x="123"/>
        <item x="9"/>
        <item x="99"/>
        <item x="427"/>
        <item x="432"/>
        <item x="119"/>
        <item x="335"/>
        <item x="263"/>
        <item x="363"/>
        <item x="410"/>
        <item x="265"/>
        <item x="168"/>
        <item x="254"/>
        <item x="55"/>
        <item x="249"/>
        <item x="464"/>
        <item x="194"/>
        <item x="242"/>
        <item x="492"/>
        <item x="82"/>
        <item x="139"/>
        <item x="431"/>
        <item x="328"/>
        <item x="422"/>
        <item x="326"/>
        <item x="437"/>
        <item x="453"/>
        <item x="190"/>
        <item x="404"/>
        <item x="176"/>
        <item x="383"/>
        <item x="364"/>
        <item x="106"/>
        <item x="81"/>
        <item x="140"/>
        <item x="195"/>
        <item x="239"/>
        <item x="210"/>
        <item x="268"/>
        <item x="138"/>
        <item x="29"/>
        <item x="423"/>
        <item x="166"/>
        <item x="367"/>
        <item x="208"/>
        <item x="319"/>
        <item x="103"/>
        <item x="485"/>
        <item x="373"/>
        <item x="116"/>
        <item x="401"/>
        <item x="186"/>
        <item x="74"/>
        <item x="494"/>
        <item x="375"/>
        <item x="252"/>
        <item x="100"/>
        <item x="403"/>
        <item x="444"/>
        <item x="267"/>
        <item x="387"/>
        <item x="469"/>
        <item x="418"/>
        <item x="178"/>
        <item x="348"/>
        <item x="337"/>
        <item x="382"/>
        <item x="43"/>
        <item x="405"/>
        <item x="388"/>
        <item x="187"/>
        <item x="243"/>
        <item x="435"/>
        <item x="415"/>
        <item x="215"/>
        <item x="307"/>
        <item x="313"/>
        <item x="154"/>
        <item x="450"/>
        <item x="22"/>
        <item x="129"/>
        <item x="474"/>
        <item x="266"/>
        <item x="244"/>
        <item x="264"/>
        <item x="97"/>
        <item x="470"/>
        <item x="384"/>
        <item x="408"/>
        <item x="163"/>
        <item x="204"/>
        <item x="303"/>
        <item x="42"/>
        <item x="217"/>
        <item x="23"/>
        <item x="18"/>
        <item x="218"/>
        <item x="274"/>
        <item x="442"/>
        <item x="489"/>
        <item x="308"/>
        <item x="95"/>
        <item x="171"/>
        <item x="426"/>
        <item x="457"/>
        <item x="19"/>
        <item x="402"/>
        <item x="379"/>
        <item x="150"/>
        <item x="76"/>
        <item x="72"/>
        <item x="349"/>
        <item x="184"/>
        <item x="356"/>
        <item x="253"/>
        <item x="458"/>
        <item x="177"/>
        <item x="144"/>
        <item x="352"/>
        <item x="377"/>
        <item x="179"/>
        <item x="371"/>
        <item x="167"/>
        <item x="499"/>
        <item x="27"/>
        <item x="182"/>
        <item x="399"/>
        <item x="449"/>
        <item x="451"/>
        <item x="131"/>
        <item x="339"/>
        <item x="278"/>
        <item x="486"/>
        <item x="374"/>
        <item x="57"/>
        <item x="460"/>
        <item x="294"/>
        <item x="260"/>
        <item x="473"/>
        <item x="258"/>
        <item x="221"/>
        <item x="324"/>
        <item x="392"/>
        <item x="315"/>
        <item x="8"/>
        <item x="52"/>
        <item x="118"/>
        <item x="238"/>
        <item x="11"/>
        <item x="362"/>
        <item x="5"/>
        <item x="151"/>
        <item x="223"/>
        <item x="406"/>
        <item x="330"/>
        <item x="351"/>
        <item x="121"/>
        <item x="25"/>
        <item x="191"/>
        <item x="45"/>
        <item x="482"/>
        <item x="345"/>
        <item x="411"/>
        <item x="277"/>
        <item x="309"/>
        <item x="63"/>
        <item x="250"/>
        <item x="32"/>
        <item x="3"/>
        <item x="35"/>
        <item x="30"/>
        <item x="487"/>
        <item x="33"/>
        <item x="424"/>
        <item x="68"/>
        <item x="193"/>
        <item x="78"/>
        <item x="280"/>
        <item x="206"/>
        <item x="407"/>
        <item x="213"/>
        <item x="155"/>
        <item x="468"/>
        <item x="471"/>
        <item x="276"/>
        <item x="368"/>
        <item x="38"/>
        <item x="419"/>
        <item x="311"/>
        <item x="231"/>
        <item x="124"/>
        <item x="329"/>
        <item x="292"/>
        <item x="475"/>
        <item x="83"/>
        <item x="248"/>
        <item x="133"/>
        <item x="412"/>
        <item x="271"/>
        <item x="350"/>
        <item x="298"/>
        <item x="112"/>
        <item x="378"/>
        <item x="288"/>
        <item x="332"/>
        <item x="302"/>
        <item x="86"/>
        <item x="290"/>
        <item x="212"/>
        <item x="7"/>
        <item x="92"/>
        <item x="323"/>
        <item x="465"/>
        <item x="148"/>
        <item x="436"/>
        <item x="316"/>
        <item x="199"/>
        <item x="320"/>
        <item x="115"/>
        <item x="397"/>
        <item x="37"/>
        <item x="28"/>
        <item x="127"/>
        <item x="141"/>
        <item x="433"/>
        <item x="152"/>
        <item x="456"/>
        <item x="493"/>
        <item x="66"/>
        <item x="226"/>
        <item x="490"/>
        <item x="0"/>
        <item x="80"/>
        <item x="472"/>
        <item x="283"/>
        <item x="174"/>
        <item x="49"/>
        <item x="4"/>
        <item x="498"/>
        <item x="448"/>
        <item x="488"/>
        <item x="34"/>
        <item x="134"/>
        <item x="429"/>
        <item x="389"/>
        <item x="317"/>
        <item x="96"/>
        <item x="232"/>
        <item x="279"/>
        <item x="2"/>
        <item x="170"/>
        <item x="235"/>
        <item x="372"/>
        <item x="233"/>
        <item x="149"/>
        <item x="236"/>
        <item x="90"/>
        <item x="357"/>
        <item x="340"/>
        <item x="128"/>
        <item x="296"/>
        <item x="234"/>
        <item x="443"/>
        <item x="454"/>
        <item x="479"/>
        <item x="16"/>
        <item x="391"/>
        <item x="314"/>
        <item x="338"/>
        <item x="421"/>
        <item x="160"/>
        <item x="41"/>
        <item x="132"/>
        <item x="445"/>
        <item x="48"/>
        <item x="386"/>
        <item x="10"/>
        <item t="default"/>
      </items>
    </pivotField>
    <pivotField compact="0" showAll="0">
      <items count="501">
        <item x="41"/>
        <item x="33"/>
        <item x="456"/>
        <item x="315"/>
        <item x="280"/>
        <item x="199"/>
        <item x="221"/>
        <item x="250"/>
        <item x="231"/>
        <item x="124"/>
        <item x="223"/>
        <item x="387"/>
        <item x="391"/>
        <item x="320"/>
        <item x="118"/>
        <item x="411"/>
        <item x="372"/>
        <item x="153"/>
        <item x="10"/>
        <item x="129"/>
        <item x="16"/>
        <item x="155"/>
        <item x="296"/>
        <item x="311"/>
        <item x="2"/>
        <item x="67"/>
        <item x="100"/>
        <item x="193"/>
        <item x="349"/>
        <item x="63"/>
        <item x="445"/>
        <item x="373"/>
        <item x="274"/>
        <item x="187"/>
        <item x="19"/>
        <item x="95"/>
        <item x="34"/>
        <item x="467"/>
        <item x="170"/>
        <item x="397"/>
        <item x="5"/>
        <item x="134"/>
        <item x="173"/>
        <item x="323"/>
        <item x="421"/>
        <item x="470"/>
        <item x="436"/>
        <item x="486"/>
        <item x="182"/>
        <item x="433"/>
        <item x="97"/>
        <item x="479"/>
        <item x="115"/>
        <item x="72"/>
        <item x="429"/>
        <item x="419"/>
        <item x="162"/>
        <item x="478"/>
        <item x="432"/>
        <item x="4"/>
        <item x="406"/>
        <item x="37"/>
        <item x="493"/>
        <item x="106"/>
        <item x="460"/>
        <item x="22"/>
        <item x="434"/>
        <item x="444"/>
        <item x="443"/>
        <item x="379"/>
        <item x="345"/>
        <item x="152"/>
        <item x="472"/>
        <item x="455"/>
        <item x="423"/>
        <item x="35"/>
        <item x="309"/>
        <item x="357"/>
        <item x="57"/>
        <item x="116"/>
        <item x="392"/>
        <item x="238"/>
        <item x="448"/>
        <item x="78"/>
        <item x="103"/>
        <item x="111"/>
        <item x="261"/>
        <item x="202"/>
        <item x="290"/>
        <item x="268"/>
        <item x="149"/>
        <item x="214"/>
        <item x="471"/>
        <item x="489"/>
        <item x="350"/>
        <item x="475"/>
        <item x="404"/>
        <item x="179"/>
        <item x="176"/>
        <item x="195"/>
        <item x="302"/>
        <item x="413"/>
        <item x="218"/>
        <item x="81"/>
        <item x="300"/>
        <item x="79"/>
        <item x="293"/>
        <item x="363"/>
        <item x="499"/>
        <item x="45"/>
        <item x="424"/>
        <item x="164"/>
        <item x="377"/>
        <item x="388"/>
        <item x="474"/>
        <item x="0"/>
        <item x="25"/>
        <item x="217"/>
        <item x="442"/>
        <item x="307"/>
        <item x="156"/>
        <item x="141"/>
        <item x="324"/>
        <item x="408"/>
        <item x="292"/>
        <item x="279"/>
        <item x="458"/>
        <item x="151"/>
        <item x="344"/>
        <item x="247"/>
        <item x="222"/>
        <item x="132"/>
        <item x="258"/>
        <item x="277"/>
        <item x="27"/>
        <item x="352"/>
        <item x="446"/>
        <item x="74"/>
        <item x="80"/>
        <item x="303"/>
        <item x="98"/>
        <item x="339"/>
        <item x="294"/>
        <item x="402"/>
        <item x="9"/>
        <item x="7"/>
        <item x="288"/>
        <item x="46"/>
        <item x="378"/>
        <item x="381"/>
        <item x="28"/>
        <item x="160"/>
        <item x="56"/>
        <item x="256"/>
        <item x="138"/>
        <item x="102"/>
        <item x="148"/>
        <item x="248"/>
        <item x="374"/>
        <item x="356"/>
        <item x="291"/>
        <item x="48"/>
        <item x="127"/>
        <item x="451"/>
        <item x="487"/>
        <item x="30"/>
        <item x="384"/>
        <item x="457"/>
        <item x="86"/>
        <item x="449"/>
        <item x="407"/>
        <item x="298"/>
        <item x="69"/>
        <item x="184"/>
        <item x="104"/>
        <item x="92"/>
        <item x="234"/>
        <item x="232"/>
        <item x="131"/>
        <item x="425"/>
        <item x="330"/>
        <item x="299"/>
        <item x="491"/>
        <item x="60"/>
        <item x="317"/>
        <item x="68"/>
        <item x="210"/>
        <item x="329"/>
        <item x="264"/>
        <item x="140"/>
        <item x="90"/>
        <item x="364"/>
        <item x="301"/>
        <item x="236"/>
        <item x="431"/>
        <item x="26"/>
        <item x="254"/>
        <item x="42"/>
        <item x="174"/>
        <item x="208"/>
        <item x="123"/>
        <item x="251"/>
        <item x="368"/>
        <item x="204"/>
        <item x="66"/>
        <item x="82"/>
        <item x="332"/>
        <item x="267"/>
        <item x="112"/>
        <item x="304"/>
        <item x="389"/>
        <item x="314"/>
        <item x="308"/>
        <item x="13"/>
        <item x="14"/>
        <item x="319"/>
        <item x="497"/>
        <item x="266"/>
        <item x="468"/>
        <item x="172"/>
        <item x="465"/>
        <item x="295"/>
        <item x="3"/>
        <item x="113"/>
        <item x="412"/>
        <item x="209"/>
        <item x="94"/>
        <item x="450"/>
        <item x="399"/>
        <item x="383"/>
        <item x="488"/>
        <item x="249"/>
        <item x="405"/>
        <item x="438"/>
        <item x="43"/>
        <item x="283"/>
        <item x="49"/>
        <item x="96"/>
        <item x="271"/>
        <item x="206"/>
        <item x="185"/>
        <item x="275"/>
        <item x="426"/>
        <item x="135"/>
        <item x="18"/>
        <item x="171"/>
        <item x="435"/>
        <item x="340"/>
        <item x="496"/>
        <item x="24"/>
        <item x="463"/>
        <item x="415"/>
        <item x="359"/>
        <item x="200"/>
        <item x="243"/>
        <item x="375"/>
        <item x="428"/>
        <item x="466"/>
        <item x="58"/>
        <item x="326"/>
        <item x="355"/>
        <item x="213"/>
        <item x="242"/>
        <item x="325"/>
        <item x="190"/>
        <item x="226"/>
        <item x="418"/>
        <item x="483"/>
        <item x="133"/>
        <item x="114"/>
        <item x="382"/>
        <item x="36"/>
        <item x="143"/>
        <item x="440"/>
        <item x="233"/>
        <item x="168"/>
        <item x="252"/>
        <item x="333"/>
        <item x="23"/>
        <item x="38"/>
        <item x="32"/>
        <item x="128"/>
        <item x="230"/>
        <item x="464"/>
        <item x="477"/>
        <item x="351"/>
        <item x="201"/>
        <item x="119"/>
        <item x="278"/>
        <item x="165"/>
        <item x="265"/>
        <item x="241"/>
        <item x="454"/>
        <item x="83"/>
        <item x="211"/>
        <item x="70"/>
        <item x="224"/>
        <item x="65"/>
        <item x="62"/>
        <item x="498"/>
        <item x="120"/>
        <item x="177"/>
        <item x="192"/>
        <item x="144"/>
        <item x="341"/>
        <item x="494"/>
        <item x="235"/>
        <item x="331"/>
        <item x="335"/>
        <item x="380"/>
        <item x="207"/>
        <item x="212"/>
        <item x="194"/>
        <item x="490"/>
        <item x="159"/>
        <item x="196"/>
        <item x="44"/>
        <item x="376"/>
        <item x="410"/>
        <item x="130"/>
        <item x="441"/>
        <item x="481"/>
        <item x="398"/>
        <item x="122"/>
        <item x="191"/>
        <item x="338"/>
        <item x="75"/>
        <item x="276"/>
        <item x="52"/>
        <item x="59"/>
        <item x="142"/>
        <item x="260"/>
        <item x="237"/>
        <item x="365"/>
        <item x="367"/>
        <item x="337"/>
        <item x="453"/>
        <item x="422"/>
        <item x="312"/>
        <item x="166"/>
        <item x="306"/>
        <item x="386"/>
        <item x="136"/>
        <item x="327"/>
        <item x="253"/>
        <item x="390"/>
        <item x="21"/>
        <item x="395"/>
        <item x="109"/>
        <item x="346"/>
        <item x="51"/>
        <item x="257"/>
        <item x="394"/>
        <item x="77"/>
        <item x="447"/>
        <item x="427"/>
        <item x="362"/>
        <item x="400"/>
        <item x="285"/>
        <item x="316"/>
        <item x="476"/>
        <item x="147"/>
        <item x="198"/>
        <item x="53"/>
        <item x="270"/>
        <item x="178"/>
        <item x="461"/>
        <item x="8"/>
        <item x="167"/>
        <item x="287"/>
        <item x="31"/>
        <item x="318"/>
        <item x="227"/>
        <item x="154"/>
        <item x="401"/>
        <item x="139"/>
        <item x="403"/>
        <item x="99"/>
        <item x="371"/>
        <item x="146"/>
        <item x="125"/>
        <item x="47"/>
        <item x="101"/>
        <item x="439"/>
        <item x="369"/>
        <item x="54"/>
        <item x="495"/>
        <item x="282"/>
        <item x="244"/>
        <item x="245"/>
        <item x="321"/>
        <item x="262"/>
        <item x="183"/>
        <item x="229"/>
        <item x="281"/>
        <item x="40"/>
        <item x="20"/>
        <item x="205"/>
        <item x="240"/>
        <item x="328"/>
        <item x="239"/>
        <item x="73"/>
        <item x="273"/>
        <item x="121"/>
        <item x="417"/>
        <item x="55"/>
        <item x="17"/>
        <item x="29"/>
        <item x="105"/>
        <item x="336"/>
        <item x="71"/>
        <item x="485"/>
        <item x="469"/>
        <item x="484"/>
        <item x="462"/>
        <item x="347"/>
        <item x="396"/>
        <item x="360"/>
        <item x="473"/>
        <item x="313"/>
        <item x="482"/>
        <item x="310"/>
        <item x="409"/>
        <item x="259"/>
        <item x="263"/>
        <item x="12"/>
        <item x="39"/>
        <item x="370"/>
        <item x="430"/>
        <item x="297"/>
        <item x="414"/>
        <item x="108"/>
        <item x="110"/>
        <item x="203"/>
        <item x="150"/>
        <item x="107"/>
        <item x="6"/>
        <item x="220"/>
        <item x="284"/>
        <item x="437"/>
        <item x="289"/>
        <item x="50"/>
        <item x="348"/>
        <item x="393"/>
        <item x="197"/>
        <item x="61"/>
        <item x="219"/>
        <item x="85"/>
        <item x="88"/>
        <item x="76"/>
        <item x="93"/>
        <item x="358"/>
        <item x="186"/>
        <item x="188"/>
        <item x="145"/>
        <item x="163"/>
        <item x="305"/>
        <item x="64"/>
        <item x="11"/>
        <item x="334"/>
        <item x="361"/>
        <item x="246"/>
        <item x="161"/>
        <item x="420"/>
        <item x="157"/>
        <item x="175"/>
        <item x="87"/>
        <item x="15"/>
        <item x="215"/>
        <item x="385"/>
        <item x="89"/>
        <item x="255"/>
        <item x="216"/>
        <item x="366"/>
        <item x="286"/>
        <item x="1"/>
        <item x="272"/>
        <item x="459"/>
        <item x="158"/>
        <item x="228"/>
        <item x="189"/>
        <item x="492"/>
        <item x="181"/>
        <item x="137"/>
        <item x="126"/>
        <item x="225"/>
        <item x="342"/>
        <item x="84"/>
        <item x="343"/>
        <item x="322"/>
        <item x="180"/>
        <item x="452"/>
        <item x="91"/>
        <item x="480"/>
        <item x="353"/>
        <item x="117"/>
        <item x="354"/>
        <item x="416"/>
        <item x="269"/>
        <item x="169"/>
        <item t="default"/>
      </items>
    </pivotField>
    <pivotField compact="0" showAll="0">
      <items count="501">
        <item x="33"/>
        <item x="41"/>
        <item x="280"/>
        <item x="456"/>
        <item x="372"/>
        <item x="199"/>
        <item x="155"/>
        <item x="2"/>
        <item x="67"/>
        <item x="63"/>
        <item x="16"/>
        <item x="5"/>
        <item x="421"/>
        <item x="250"/>
        <item x="97"/>
        <item x="118"/>
        <item x="357"/>
        <item x="467"/>
        <item x="223"/>
        <item x="471"/>
        <item x="152"/>
        <item x="81"/>
        <item x="78"/>
        <item x="423"/>
        <item x="25"/>
        <item x="472"/>
        <item x="0"/>
        <item x="470"/>
        <item x="218"/>
        <item x="247"/>
        <item x="170"/>
        <item x="388"/>
        <item x="445"/>
        <item x="406"/>
        <item x="424"/>
        <item x="141"/>
        <item x="377"/>
        <item x="413"/>
        <item x="34"/>
        <item x="486"/>
        <item x="106"/>
        <item x="442"/>
        <item x="373"/>
        <item x="238"/>
        <item x="307"/>
        <item x="74"/>
        <item x="302"/>
        <item x="217"/>
        <item x="164"/>
        <item x="300"/>
        <item x="193"/>
        <item x="474"/>
        <item x="124"/>
        <item x="451"/>
        <item x="115"/>
        <item x="221"/>
        <item x="268"/>
        <item x="57"/>
        <item x="392"/>
        <item x="475"/>
        <item x="279"/>
        <item x="10"/>
        <item x="391"/>
        <item x="103"/>
        <item x="433"/>
        <item x="56"/>
        <item x="384"/>
        <item x="48"/>
        <item x="368"/>
        <item x="140"/>
        <item x="425"/>
        <item x="72"/>
        <item x="256"/>
        <item x="95"/>
        <item x="148"/>
        <item x="60"/>
        <item x="274"/>
        <item x="407"/>
        <item x="402"/>
        <item x="311"/>
        <item x="204"/>
        <item x="98"/>
        <item x="162"/>
        <item x="28"/>
        <item x="345"/>
        <item x="434"/>
        <item x="113"/>
        <item x="102"/>
        <item x="195"/>
        <item x="111"/>
        <item x="411"/>
        <item x="26"/>
        <item x="277"/>
        <item x="299"/>
        <item x="248"/>
        <item x="432"/>
        <item x="438"/>
        <item x="264"/>
        <item x="381"/>
        <item x="443"/>
        <item x="319"/>
        <item x="123"/>
        <item x="271"/>
        <item x="200"/>
        <item x="405"/>
        <item x="397"/>
        <item x="45"/>
        <item x="149"/>
        <item x="315"/>
        <item x="329"/>
        <item x="173"/>
        <item x="267"/>
        <item x="288"/>
        <item x="320"/>
        <item x="454"/>
        <item x="419"/>
        <item x="79"/>
        <item x="408"/>
        <item x="294"/>
        <item x="379"/>
        <item x="100"/>
        <item x="498"/>
        <item x="171"/>
        <item x="83"/>
        <item x="174"/>
        <item x="483"/>
        <item x="104"/>
        <item x="90"/>
        <item x="201"/>
        <item x="230"/>
        <item x="254"/>
        <item x="491"/>
        <item x="159"/>
        <item x="176"/>
        <item x="120"/>
        <item x="487"/>
        <item x="7"/>
        <item x="18"/>
        <item x="493"/>
        <item x="446"/>
        <item x="398"/>
        <item x="138"/>
        <item x="38"/>
        <item x="143"/>
        <item x="440"/>
        <item x="449"/>
        <item x="177"/>
        <item x="160"/>
        <item x="32"/>
        <item x="457"/>
        <item x="412"/>
        <item x="330"/>
        <item x="86"/>
        <item x="326"/>
        <item x="344"/>
        <item x="387"/>
        <item x="428"/>
        <item x="236"/>
        <item x="62"/>
        <item x="187"/>
        <item x="211"/>
        <item x="309"/>
        <item x="465"/>
        <item x="196"/>
        <item x="109"/>
        <item x="214"/>
        <item x="66"/>
        <item x="308"/>
        <item x="142"/>
        <item x="241"/>
        <item x="136"/>
        <item x="82"/>
        <item x="295"/>
        <item x="352"/>
        <item x="234"/>
        <item x="222"/>
        <item x="395"/>
        <item x="304"/>
        <item x="365"/>
        <item x="191"/>
        <item x="496"/>
        <item x="119"/>
        <item x="401"/>
        <item x="346"/>
        <item x="362"/>
        <item x="339"/>
        <item x="285"/>
        <item x="378"/>
        <item x="429"/>
        <item x="386"/>
        <item x="431"/>
        <item x="21"/>
        <item x="75"/>
        <item x="341"/>
        <item x="202"/>
        <item x="477"/>
        <item x="127"/>
        <item x="435"/>
        <item x="58"/>
        <item x="231"/>
        <item x="355"/>
        <item x="495"/>
        <item x="129"/>
        <item x="114"/>
        <item x="447"/>
        <item x="422"/>
        <item x="245"/>
        <item x="258"/>
        <item x="367"/>
        <item x="327"/>
        <item x="30"/>
        <item x="36"/>
        <item x="47"/>
        <item x="464"/>
        <item x="154"/>
        <item x="461"/>
        <item x="380"/>
        <item x="205"/>
        <item x="298"/>
        <item x="252"/>
        <item x="441"/>
        <item x="213"/>
        <item x="121"/>
        <item x="4"/>
        <item x="105"/>
        <item x="20"/>
        <item x="134"/>
        <item x="278"/>
        <item x="293"/>
        <item x="382"/>
        <item x="31"/>
        <item x="468"/>
        <item x="324"/>
        <item x="479"/>
        <item x="317"/>
        <item x="439"/>
        <item x="404"/>
        <item x="389"/>
        <item x="489"/>
        <item x="210"/>
        <item x="399"/>
        <item x="340"/>
        <item x="453"/>
        <item x="427"/>
        <item x="499"/>
        <item x="3"/>
        <item x="59"/>
        <item x="383"/>
        <item x="251"/>
        <item x="233"/>
        <item x="209"/>
        <item x="39"/>
        <item x="313"/>
        <item x="292"/>
        <item x="8"/>
        <item x="182"/>
        <item x="46"/>
        <item x="107"/>
        <item x="349"/>
        <item x="244"/>
        <item x="356"/>
        <item x="235"/>
        <item x="207"/>
        <item x="478"/>
        <item x="484"/>
        <item x="92"/>
        <item x="426"/>
        <item x="70"/>
        <item x="266"/>
        <item x="485"/>
        <item x="273"/>
        <item x="375"/>
        <item x="65"/>
        <item x="363"/>
        <item x="263"/>
        <item x="306"/>
        <item x="232"/>
        <item x="259"/>
        <item x="6"/>
        <item x="369"/>
        <item x="332"/>
        <item x="112"/>
        <item x="350"/>
        <item x="390"/>
        <item x="490"/>
        <item x="197"/>
        <item x="239"/>
        <item x="325"/>
        <item x="198"/>
        <item x="29"/>
        <item x="400"/>
        <item x="403"/>
        <item x="265"/>
        <item x="50"/>
        <item x="276"/>
        <item x="192"/>
        <item x="55"/>
        <item x="178"/>
        <item x="290"/>
        <item x="348"/>
        <item x="219"/>
        <item x="17"/>
        <item x="51"/>
        <item x="227"/>
        <item x="337"/>
        <item x="393"/>
        <item x="262"/>
        <item x="243"/>
        <item x="43"/>
        <item x="175"/>
        <item x="19"/>
        <item x="328"/>
        <item x="165"/>
        <item x="216"/>
        <item x="101"/>
        <item x="364"/>
        <item x="73"/>
        <item x="76"/>
        <item x="410"/>
        <item x="99"/>
        <item x="108"/>
        <item x="158"/>
        <item x="167"/>
        <item x="459"/>
        <item x="282"/>
        <item x="415"/>
        <item x="27"/>
        <item x="275"/>
        <item x="417"/>
        <item x="312"/>
        <item x="185"/>
        <item x="126"/>
        <item x="116"/>
        <item x="371"/>
        <item x="338"/>
        <item x="473"/>
        <item x="163"/>
        <item x="12"/>
        <item x="494"/>
        <item x="68"/>
        <item x="261"/>
        <item x="296"/>
        <item x="370"/>
        <item x="297"/>
        <item x="497"/>
        <item x="488"/>
        <item x="181"/>
        <item x="225"/>
        <item x="133"/>
        <item x="71"/>
        <item x="314"/>
        <item x="334"/>
        <item x="396"/>
        <item x="130"/>
        <item x="240"/>
        <item x="255"/>
        <item x="110"/>
        <item x="194"/>
        <item x="333"/>
        <item x="237"/>
        <item x="44"/>
        <item x="52"/>
        <item x="131"/>
        <item x="189"/>
        <item x="305"/>
        <item x="385"/>
        <item x="224"/>
        <item x="347"/>
        <item x="289"/>
        <item x="89"/>
        <item x="146"/>
        <item x="463"/>
        <item x="128"/>
        <item x="335"/>
        <item x="88"/>
        <item x="281"/>
        <item x="23"/>
        <item x="77"/>
        <item x="137"/>
        <item x="323"/>
        <item x="260"/>
        <item x="343"/>
        <item x="322"/>
        <item x="358"/>
        <item x="64"/>
        <item x="291"/>
        <item x="455"/>
        <item x="145"/>
        <item x="212"/>
        <item x="336"/>
        <item x="458"/>
        <item x="184"/>
        <item x="284"/>
        <item x="287"/>
        <item x="61"/>
        <item x="156"/>
        <item x="117"/>
        <item x="24"/>
        <item x="481"/>
        <item x="179"/>
        <item x="172"/>
        <item x="482"/>
        <item x="40"/>
        <item x="15"/>
        <item x="436"/>
        <item x="316"/>
        <item x="22"/>
        <item x="310"/>
        <item x="186"/>
        <item x="460"/>
        <item x="54"/>
        <item x="246"/>
        <item x="206"/>
        <item x="301"/>
        <item x="359"/>
        <item x="303"/>
        <item x="466"/>
        <item x="215"/>
        <item x="14"/>
        <item x="409"/>
        <item x="150"/>
        <item x="469"/>
        <item x="53"/>
        <item x="242"/>
        <item x="144"/>
        <item x="84"/>
        <item x="228"/>
        <item x="444"/>
        <item x="420"/>
        <item x="414"/>
        <item x="203"/>
        <item x="147"/>
        <item x="35"/>
        <item x="153"/>
        <item x="452"/>
        <item x="139"/>
        <item x="94"/>
        <item x="353"/>
        <item x="249"/>
        <item x="151"/>
        <item x="354"/>
        <item x="180"/>
        <item x="272"/>
        <item x="85"/>
        <item x="42"/>
        <item x="376"/>
        <item x="208"/>
        <item x="188"/>
        <item x="80"/>
        <item x="351"/>
        <item x="37"/>
        <item x="342"/>
        <item x="96"/>
        <item x="318"/>
        <item x="220"/>
        <item x="492"/>
        <item x="125"/>
        <item x="11"/>
        <item x="480"/>
        <item x="122"/>
        <item x="462"/>
        <item x="161"/>
        <item x="226"/>
        <item x="132"/>
        <item x="257"/>
        <item x="366"/>
        <item x="448"/>
        <item x="69"/>
        <item x="321"/>
        <item x="168"/>
        <item x="286"/>
        <item x="430"/>
        <item x="331"/>
        <item x="1"/>
        <item x="450"/>
        <item x="229"/>
        <item x="269"/>
        <item x="13"/>
        <item x="418"/>
        <item x="374"/>
        <item x="9"/>
        <item x="394"/>
        <item x="91"/>
        <item x="270"/>
        <item x="476"/>
        <item x="49"/>
        <item x="283"/>
        <item x="360"/>
        <item x="190"/>
        <item x="169"/>
        <item x="87"/>
        <item x="93"/>
        <item x="253"/>
        <item x="157"/>
        <item x="166"/>
        <item x="135"/>
        <item x="361"/>
        <item x="437"/>
        <item x="183"/>
        <item x="416"/>
        <item t="default"/>
      </items>
    </pivotField>
    <pivotField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dataField="1" compact="0" showAll="0">
      <items count="501">
        <item x="270"/>
        <item x="361"/>
        <item x="166"/>
        <item x="135"/>
        <item x="416"/>
        <item x="93"/>
        <item x="122"/>
        <item x="269"/>
        <item x="437"/>
        <item x="42"/>
        <item x="394"/>
        <item x="169"/>
        <item x="91"/>
        <item x="183"/>
        <item x="87"/>
        <item x="253"/>
        <item x="476"/>
        <item x="450"/>
        <item x="366"/>
        <item x="374"/>
        <item x="180"/>
        <item x="342"/>
        <item x="418"/>
        <item x="157"/>
        <item x="9"/>
        <item x="360"/>
        <item x="351"/>
        <item x="190"/>
        <item x="331"/>
        <item x="448"/>
        <item x="452"/>
        <item x="84"/>
        <item x="1"/>
        <item x="272"/>
        <item x="257"/>
        <item x="69"/>
        <item x="206"/>
        <item x="147"/>
        <item x="49"/>
        <item x="125"/>
        <item x="117"/>
        <item x="226"/>
        <item x="11"/>
        <item x="54"/>
        <item x="466"/>
        <item x="144"/>
        <item x="283"/>
        <item x="229"/>
        <item x="354"/>
        <item x="480"/>
        <item x="23"/>
        <item x="132"/>
        <item x="96"/>
        <item x="151"/>
        <item x="40"/>
        <item x="13"/>
        <item x="321"/>
        <item x="208"/>
        <item x="150"/>
        <item x="228"/>
        <item x="492"/>
        <item x="240"/>
        <item x="436"/>
        <item x="481"/>
        <item x="430"/>
        <item x="188"/>
        <item x="168"/>
        <item x="156"/>
        <item x="80"/>
        <item x="286"/>
        <item x="146"/>
        <item x="220"/>
        <item x="249"/>
        <item x="85"/>
        <item x="318"/>
        <item x="420"/>
        <item x="303"/>
        <item x="161"/>
        <item x="110"/>
        <item x="337"/>
        <item x="260"/>
        <item x="64"/>
        <item x="414"/>
        <item x="242"/>
        <item x="22"/>
        <item x="463"/>
        <item x="462"/>
        <item x="179"/>
        <item x="409"/>
        <item x="53"/>
        <item x="52"/>
        <item x="128"/>
        <item x="415"/>
        <item x="126"/>
        <item x="212"/>
        <item x="358"/>
        <item x="291"/>
        <item x="396"/>
        <item x="284"/>
        <item x="158"/>
        <item x="314"/>
        <item x="27"/>
        <item x="94"/>
        <item x="68"/>
        <item x="376"/>
        <item x="216"/>
        <item x="215"/>
        <item x="336"/>
        <item x="338"/>
        <item x="14"/>
        <item x="185"/>
        <item x="246"/>
        <item x="497"/>
        <item x="89"/>
        <item x="316"/>
        <item x="203"/>
        <item x="15"/>
        <item x="139"/>
        <item x="37"/>
        <item x="370"/>
        <item x="281"/>
        <item x="287"/>
        <item x="353"/>
        <item x="400"/>
        <item x="165"/>
        <item x="417"/>
        <item x="469"/>
        <item x="35"/>
        <item x="189"/>
        <item x="153"/>
        <item x="99"/>
        <item x="458"/>
        <item x="186"/>
        <item x="71"/>
        <item x="312"/>
        <item x="130"/>
        <item x="410"/>
        <item x="77"/>
        <item x="444"/>
        <item x="237"/>
        <item x="325"/>
        <item x="61"/>
        <item x="181"/>
        <item x="322"/>
        <item x="494"/>
        <item x="137"/>
        <item x="224"/>
        <item x="273"/>
        <item x="364"/>
        <item x="50"/>
        <item x="43"/>
        <item x="343"/>
        <item x="225"/>
        <item x="24"/>
        <item x="301"/>
        <item x="484"/>
        <item x="297"/>
        <item x="349"/>
        <item x="359"/>
        <item x="55"/>
        <item x="175"/>
        <item x="275"/>
        <item x="51"/>
        <item x="333"/>
        <item x="460"/>
        <item x="292"/>
        <item x="348"/>
        <item x="19"/>
        <item x="310"/>
        <item x="427"/>
        <item x="276"/>
        <item x="347"/>
        <item x="233"/>
        <item x="232"/>
        <item x="194"/>
        <item x="145"/>
        <item x="455"/>
        <item x="172"/>
        <item x="482"/>
        <item x="369"/>
        <item x="282"/>
        <item x="184"/>
        <item x="116"/>
        <item x="393"/>
        <item x="88"/>
        <item x="296"/>
        <item x="324"/>
        <item x="473"/>
        <item x="12"/>
        <item x="439"/>
        <item x="44"/>
        <item x="478"/>
        <item x="371"/>
        <item x="59"/>
        <item x="323"/>
        <item x="262"/>
        <item x="289"/>
        <item x="192"/>
        <item x="459"/>
        <item x="335"/>
        <item x="187"/>
        <item x="197"/>
        <item x="8"/>
        <item x="429"/>
        <item x="305"/>
        <item x="356"/>
        <item x="163"/>
        <item x="385"/>
        <item x="227"/>
        <item x="327"/>
        <item x="243"/>
        <item x="261"/>
        <item x="219"/>
        <item x="234"/>
        <item x="196"/>
        <item x="344"/>
        <item x="36"/>
        <item x="365"/>
        <item x="131"/>
        <item x="339"/>
        <item x="108"/>
        <item x="290"/>
        <item x="255"/>
        <item x="207"/>
        <item x="214"/>
        <item x="399"/>
        <item x="209"/>
        <item x="73"/>
        <item x="123"/>
        <item x="375"/>
        <item x="389"/>
        <item x="355"/>
        <item x="182"/>
        <item x="334"/>
        <item x="105"/>
        <item x="453"/>
        <item x="107"/>
        <item x="464"/>
        <item x="222"/>
        <item x="213"/>
        <item x="133"/>
        <item x="167"/>
        <item x="47"/>
        <item x="426"/>
        <item x="29"/>
        <item x="403"/>
        <item x="4"/>
        <item x="428"/>
        <item x="32"/>
        <item x="461"/>
        <item x="441"/>
        <item x="446"/>
        <item x="114"/>
        <item x="328"/>
        <item x="244"/>
        <item x="254"/>
        <item x="449"/>
        <item x="6"/>
        <item x="295"/>
        <item x="79"/>
        <item x="39"/>
        <item x="496"/>
        <item x="298"/>
        <item x="111"/>
        <item x="346"/>
        <item x="363"/>
        <item x="285"/>
        <item x="488"/>
        <item x="258"/>
        <item x="134"/>
        <item x="112"/>
        <item x="205"/>
        <item x="265"/>
        <item x="308"/>
        <item x="395"/>
        <item x="202"/>
        <item x="293"/>
        <item x="76"/>
        <item x="320"/>
        <item x="75"/>
        <item x="313"/>
        <item x="231"/>
        <item x="200"/>
        <item x="404"/>
        <item x="390"/>
        <item x="431"/>
        <item x="7"/>
        <item x="201"/>
        <item x="198"/>
        <item x="493"/>
        <item x="121"/>
        <item x="251"/>
        <item x="101"/>
        <item x="171"/>
        <item x="30"/>
        <item x="70"/>
        <item x="263"/>
        <item x="239"/>
        <item x="259"/>
        <item x="21"/>
        <item x="195"/>
        <item x="109"/>
        <item x="18"/>
        <item x="31"/>
        <item x="65"/>
        <item x="309"/>
        <item x="288"/>
        <item x="422"/>
        <item x="490"/>
        <item x="100"/>
        <item x="264"/>
        <item x="17"/>
        <item x="457"/>
        <item x="129"/>
        <item x="178"/>
        <item x="387"/>
        <item x="173"/>
        <item x="143"/>
        <item x="142"/>
        <item x="294"/>
        <item x="495"/>
        <item x="326"/>
        <item x="20"/>
        <item x="210"/>
        <item x="57"/>
        <item x="411"/>
        <item x="211"/>
        <item x="124"/>
        <item x="465"/>
        <item x="499"/>
        <item x="266"/>
        <item x="306"/>
        <item x="92"/>
        <item x="149"/>
        <item x="479"/>
        <item x="136"/>
        <item x="46"/>
        <item x="489"/>
        <item x="485"/>
        <item x="103"/>
        <item x="315"/>
        <item x="138"/>
        <item x="221"/>
        <item x="152"/>
        <item x="401"/>
        <item x="319"/>
        <item x="332"/>
        <item x="277"/>
        <item x="330"/>
        <item x="350"/>
        <item x="477"/>
        <item x="58"/>
        <item x="230"/>
        <item x="300"/>
        <item x="176"/>
        <item x="104"/>
        <item x="267"/>
        <item x="113"/>
        <item x="278"/>
        <item x="447"/>
        <item x="3"/>
        <item x="304"/>
        <item x="236"/>
        <item x="120"/>
        <item x="440"/>
        <item x="235"/>
        <item x="380"/>
        <item x="256"/>
        <item x="398"/>
        <item x="317"/>
        <item x="95"/>
        <item x="86"/>
        <item x="74"/>
        <item x="408"/>
        <item x="405"/>
        <item x="468"/>
        <item x="299"/>
        <item x="340"/>
        <item x="352"/>
        <item x="432"/>
        <item x="119"/>
        <item x="160"/>
        <item x="118"/>
        <item x="252"/>
        <item x="10"/>
        <item x="434"/>
        <item x="248"/>
        <item x="341"/>
        <item x="357"/>
        <item x="419"/>
        <item x="491"/>
        <item x="383"/>
        <item x="378"/>
        <item x="382"/>
        <item x="56"/>
        <item x="162"/>
        <item x="62"/>
        <item x="311"/>
        <item x="472"/>
        <item x="83"/>
        <item x="115"/>
        <item x="386"/>
        <item x="362"/>
        <item x="245"/>
        <item x="379"/>
        <item x="487"/>
        <item x="470"/>
        <item x="45"/>
        <item x="159"/>
        <item x="127"/>
        <item x="154"/>
        <item x="98"/>
        <item x="435"/>
        <item x="48"/>
        <item x="82"/>
        <item x="140"/>
        <item x="329"/>
        <item x="274"/>
        <item x="397"/>
        <item x="425"/>
        <item x="483"/>
        <item x="438"/>
        <item x="191"/>
        <item x="474"/>
        <item x="66"/>
        <item x="498"/>
        <item x="106"/>
        <item x="164"/>
        <item x="28"/>
        <item x="402"/>
        <item x="241"/>
        <item x="391"/>
        <item x="377"/>
        <item x="486"/>
        <item x="407"/>
        <item x="26"/>
        <item x="78"/>
        <item x="421"/>
        <item x="97"/>
        <item x="367"/>
        <item x="38"/>
        <item x="177"/>
        <item x="218"/>
        <item x="443"/>
        <item x="454"/>
        <item x="199"/>
        <item x="72"/>
        <item x="60"/>
        <item x="279"/>
        <item x="412"/>
        <item x="381"/>
        <item x="102"/>
        <item x="442"/>
        <item x="271"/>
        <item x="25"/>
        <item x="302"/>
        <item x="368"/>
        <item x="467"/>
        <item x="90"/>
        <item x="345"/>
        <item x="247"/>
        <item x="5"/>
        <item x="141"/>
        <item x="471"/>
        <item x="373"/>
        <item x="204"/>
        <item x="193"/>
        <item x="413"/>
        <item x="280"/>
        <item x="388"/>
        <item x="174"/>
        <item x="250"/>
        <item x="384"/>
        <item x="372"/>
        <item x="67"/>
        <item x="34"/>
        <item x="433"/>
        <item x="424"/>
        <item x="268"/>
        <item x="392"/>
        <item x="238"/>
        <item x="223"/>
        <item x="217"/>
        <item x="2"/>
        <item x="81"/>
        <item x="423"/>
        <item x="445"/>
        <item x="0"/>
        <item x="307"/>
        <item x="63"/>
        <item x="41"/>
        <item x="451"/>
        <item x="475"/>
        <item x="148"/>
        <item x="406"/>
        <item x="170"/>
        <item x="33"/>
        <item x="456"/>
        <item x="16"/>
        <item x="155"/>
        <item t="default"/>
      </items>
    </pivotField>
    <pivotField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compact="0" showAll="0">
      <items count="8">
        <item x="5"/>
        <item x="1"/>
        <item x="4"/>
        <item x="3"/>
        <item x="2"/>
        <item x="0"/>
        <item x="6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pend ($)" fld="5" baseField="0" baseItem="0"/>
    <dataField name="Sum of Revenue ($)" fld="9" baseField="0" baseItem="0"/>
    <dataField name="Sum of Conversions" fld="8" baseField="0" baseItem="0"/>
    <dataField name="Sum of Profit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10">
  <location ref="B38:C43" firstHeaderRow="1" firstDataRow="1" firstDataCol="1"/>
  <pivotFields count="1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>
      <items count="174">
        <item x="64"/>
        <item x="109"/>
        <item x="121"/>
        <item x="68"/>
        <item x="81"/>
        <item x="118"/>
        <item x="37"/>
        <item x="116"/>
        <item x="142"/>
        <item x="53"/>
        <item x="13"/>
        <item x="123"/>
        <item x="91"/>
        <item x="139"/>
        <item x="136"/>
        <item x="30"/>
        <item x="57"/>
        <item x="146"/>
        <item x="126"/>
        <item x="143"/>
        <item x="125"/>
        <item x="165"/>
        <item x="102"/>
        <item x="41"/>
        <item x="101"/>
        <item x="156"/>
        <item x="113"/>
        <item x="170"/>
        <item x="46"/>
        <item x="74"/>
        <item x="17"/>
        <item x="168"/>
        <item x="36"/>
        <item x="12"/>
        <item x="85"/>
        <item x="1"/>
        <item x="129"/>
        <item x="134"/>
        <item x="26"/>
        <item x="87"/>
        <item x="166"/>
        <item x="47"/>
        <item x="48"/>
        <item x="89"/>
        <item x="150"/>
        <item x="59"/>
        <item x="152"/>
        <item x="127"/>
        <item x="8"/>
        <item x="14"/>
        <item x="138"/>
        <item x="43"/>
        <item x="157"/>
        <item x="140"/>
        <item x="111"/>
        <item x="84"/>
        <item x="60"/>
        <item x="160"/>
        <item x="99"/>
        <item x="32"/>
        <item x="112"/>
        <item x="22"/>
        <item x="49"/>
        <item x="162"/>
        <item x="67"/>
        <item x="128"/>
        <item x="108"/>
        <item x="76"/>
        <item x="54"/>
        <item x="29"/>
        <item x="62"/>
        <item x="65"/>
        <item x="148"/>
        <item x="90"/>
        <item x="79"/>
        <item x="55"/>
        <item x="106"/>
        <item x="83"/>
        <item x="75"/>
        <item x="24"/>
        <item x="34"/>
        <item x="61"/>
        <item x="15"/>
        <item x="42"/>
        <item x="45"/>
        <item x="172"/>
        <item x="115"/>
        <item x="133"/>
        <item x="66"/>
        <item x="132"/>
        <item x="56"/>
        <item x="82"/>
        <item x="158"/>
        <item x="153"/>
        <item x="145"/>
        <item x="105"/>
        <item x="73"/>
        <item x="149"/>
        <item x="9"/>
        <item x="147"/>
        <item x="6"/>
        <item x="52"/>
        <item x="35"/>
        <item x="131"/>
        <item x="167"/>
        <item x="2"/>
        <item x="77"/>
        <item x="23"/>
        <item x="10"/>
        <item x="31"/>
        <item x="7"/>
        <item x="58"/>
        <item x="122"/>
        <item x="33"/>
        <item x="151"/>
        <item x="169"/>
        <item x="96"/>
        <item x="38"/>
        <item x="5"/>
        <item x="114"/>
        <item x="21"/>
        <item x="70"/>
        <item x="27"/>
        <item x="51"/>
        <item x="88"/>
        <item x="98"/>
        <item x="50"/>
        <item x="137"/>
        <item x="78"/>
        <item x="80"/>
        <item x="120"/>
        <item x="86"/>
        <item x="103"/>
        <item x="71"/>
        <item x="0"/>
        <item x="107"/>
        <item x="171"/>
        <item x="104"/>
        <item x="19"/>
        <item x="39"/>
        <item x="161"/>
        <item x="93"/>
        <item x="155"/>
        <item x="97"/>
        <item x="110"/>
        <item x="4"/>
        <item x="130"/>
        <item x="100"/>
        <item x="154"/>
        <item x="163"/>
        <item x="124"/>
        <item x="40"/>
        <item x="141"/>
        <item x="135"/>
        <item x="94"/>
        <item x="69"/>
        <item x="28"/>
        <item x="16"/>
        <item x="117"/>
        <item x="11"/>
        <item x="44"/>
        <item x="3"/>
        <item x="92"/>
        <item x="25"/>
        <item x="20"/>
        <item x="164"/>
        <item x="144"/>
        <item x="72"/>
        <item x="18"/>
        <item x="159"/>
        <item x="95"/>
        <item x="119"/>
        <item x="63"/>
        <item t="default"/>
      </items>
    </pivotField>
    <pivotField compact="0" showAll="0">
      <items count="6">
        <item x="1"/>
        <item x="0"/>
        <item x="4"/>
        <item x="3"/>
        <item x="2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>
      <items count="501">
        <item x="24"/>
        <item x="315"/>
        <item x="152"/>
        <item x="280"/>
        <item x="57"/>
        <item x="312"/>
        <item x="294"/>
        <item x="79"/>
        <item x="349"/>
        <item x="104"/>
        <item x="411"/>
        <item x="14"/>
        <item x="95"/>
        <item x="97"/>
        <item x="472"/>
        <item x="56"/>
        <item x="474"/>
        <item x="162"/>
        <item x="398"/>
        <item x="319"/>
        <item x="100"/>
        <item x="434"/>
        <item x="176"/>
        <item x="471"/>
        <item x="2"/>
        <item x="346"/>
        <item x="123"/>
        <item x="118"/>
        <item x="446"/>
        <item x="224"/>
        <item x="320"/>
        <item x="67"/>
        <item x="282"/>
        <item x="201"/>
        <item x="372"/>
        <item x="74"/>
        <item x="124"/>
        <item x="113"/>
        <item x="296"/>
        <item x="425"/>
        <item x="33"/>
        <item x="41"/>
        <item x="182"/>
        <item x="111"/>
        <item x="250"/>
        <item x="143"/>
        <item x="153"/>
        <item x="30"/>
        <item x="44"/>
        <item x="98"/>
        <item x="196"/>
        <item x="387"/>
        <item x="373"/>
        <item x="455"/>
        <item x="310"/>
        <item x="7"/>
        <item x="478"/>
        <item x="242"/>
        <item x="22"/>
        <item x="426"/>
        <item x="192"/>
        <item x="173"/>
        <item x="407"/>
        <item x="267"/>
        <item x="106"/>
        <item x="388"/>
        <item x="37"/>
        <item x="460"/>
        <item x="404"/>
        <item x="243"/>
        <item x="432"/>
        <item x="467"/>
        <item x="200"/>
        <item x="464"/>
        <item x="199"/>
        <item x="114"/>
        <item x="365"/>
        <item x="129"/>
        <item x="295"/>
        <item x="456"/>
        <item x="457"/>
        <item x="289"/>
        <item x="442"/>
        <item x="5"/>
        <item x="413"/>
        <item x="39"/>
        <item x="285"/>
        <item x="78"/>
        <item x="19"/>
        <item x="470"/>
        <item x="202"/>
        <item x="300"/>
        <item x="207"/>
        <item x="284"/>
        <item x="214"/>
        <item x="187"/>
        <item x="486"/>
        <item x="99"/>
        <item x="441"/>
        <item x="405"/>
        <item x="293"/>
        <item x="156"/>
        <item x="71"/>
        <item x="444"/>
        <item x="36"/>
        <item x="344"/>
        <item x="363"/>
        <item x="248"/>
        <item x="357"/>
        <item x="221"/>
        <item x="195"/>
        <item x="63"/>
        <item x="231"/>
        <item x="75"/>
        <item x="222"/>
        <item x="440"/>
        <item x="458"/>
        <item x="179"/>
        <item x="254"/>
        <item x="35"/>
        <item x="336"/>
        <item x="47"/>
        <item x="236"/>
        <item x="227"/>
        <item x="461"/>
        <item x="193"/>
        <item x="391"/>
        <item x="325"/>
        <item x="420"/>
        <item x="103"/>
        <item x="409"/>
        <item x="164"/>
        <item x="229"/>
        <item x="48"/>
        <item x="223"/>
        <item x="96"/>
        <item x="232"/>
        <item x="423"/>
        <item x="396"/>
        <item x="247"/>
        <item x="12"/>
        <item x="28"/>
        <item x="34"/>
        <item x="125"/>
        <item x="45"/>
        <item x="401"/>
        <item x="230"/>
        <item x="72"/>
        <item x="428"/>
        <item x="139"/>
        <item x="274"/>
        <item x="251"/>
        <item x="273"/>
        <item x="234"/>
        <item x="436"/>
        <item x="60"/>
        <item x="256"/>
        <item x="261"/>
        <item x="238"/>
        <item x="65"/>
        <item x="188"/>
        <item x="429"/>
        <item x="165"/>
        <item x="356"/>
        <item x="110"/>
        <item x="220"/>
        <item x="21"/>
        <item x="26"/>
        <item x="279"/>
        <item x="219"/>
        <item x="46"/>
        <item x="495"/>
        <item x="81"/>
        <item x="449"/>
        <item x="376"/>
        <item x="497"/>
        <item x="290"/>
        <item x="0"/>
        <item x="116"/>
        <item x="155"/>
        <item x="94"/>
        <item x="172"/>
        <item x="213"/>
        <item x="303"/>
        <item x="59"/>
        <item x="120"/>
        <item x="496"/>
        <item x="20"/>
        <item x="321"/>
        <item x="422"/>
        <item x="430"/>
        <item x="288"/>
        <item x="185"/>
        <item x="491"/>
        <item x="489"/>
        <item x="291"/>
        <item x="318"/>
        <item x="408"/>
        <item x="268"/>
        <item x="308"/>
        <item x="82"/>
        <item x="218"/>
        <item x="6"/>
        <item x="329"/>
        <item x="493"/>
        <item x="305"/>
        <item x="189"/>
        <item x="246"/>
        <item x="13"/>
        <item x="142"/>
        <item x="481"/>
        <item x="333"/>
        <item x="438"/>
        <item x="277"/>
        <item x="287"/>
        <item x="463"/>
        <item x="421"/>
        <item x="8"/>
        <item x="447"/>
        <item x="499"/>
        <item x="175"/>
        <item x="323"/>
        <item x="233"/>
        <item x="417"/>
        <item x="307"/>
        <item x="51"/>
        <item x="419"/>
        <item x="194"/>
        <item x="141"/>
        <item x="379"/>
        <item x="377"/>
        <item x="326"/>
        <item x="443"/>
        <item x="278"/>
        <item x="77"/>
        <item x="49"/>
        <item x="134"/>
        <item x="264"/>
        <item x="389"/>
        <item x="43"/>
        <item x="190"/>
        <item x="9"/>
        <item x="459"/>
        <item x="477"/>
        <item x="102"/>
        <item x="32"/>
        <item x="311"/>
        <item x="158"/>
        <item x="211"/>
        <item x="212"/>
        <item x="167"/>
        <item x="371"/>
        <item x="217"/>
        <item x="393"/>
        <item x="309"/>
        <item x="249"/>
        <item x="494"/>
        <item x="121"/>
        <item x="16"/>
        <item x="70"/>
        <item x="375"/>
        <item x="184"/>
        <item x="159"/>
        <item x="85"/>
        <item x="31"/>
        <item x="286"/>
        <item x="381"/>
        <item x="490"/>
        <item x="339"/>
        <item x="255"/>
        <item x="86"/>
        <item x="313"/>
        <item x="397"/>
        <item x="301"/>
        <item x="262"/>
        <item x="119"/>
        <item x="331"/>
        <item x="272"/>
        <item x="453"/>
        <item x="283"/>
        <item x="237"/>
        <item x="18"/>
        <item x="1"/>
        <item x="498"/>
        <item x="68"/>
        <item x="10"/>
        <item x="364"/>
        <item x="109"/>
        <item x="362"/>
        <item x="170"/>
        <item x="115"/>
        <item x="390"/>
        <item x="466"/>
        <item x="144"/>
        <item x="208"/>
        <item x="252"/>
        <item x="191"/>
        <item x="454"/>
        <item x="27"/>
        <item x="304"/>
        <item x="415"/>
        <item x="353"/>
        <item x="161"/>
        <item x="204"/>
        <item x="160"/>
        <item x="138"/>
        <item x="394"/>
        <item x="38"/>
        <item x="54"/>
        <item x="101"/>
        <item x="29"/>
        <item x="476"/>
        <item x="197"/>
        <item x="58"/>
        <item x="445"/>
        <item x="487"/>
        <item x="314"/>
        <item x="406"/>
        <item x="335"/>
        <item x="15"/>
        <item x="69"/>
        <item x="468"/>
        <item x="317"/>
        <item x="244"/>
        <item x="298"/>
        <item x="181"/>
        <item x="52"/>
        <item x="359"/>
        <item x="483"/>
        <item x="378"/>
        <item x="402"/>
        <item x="168"/>
        <item x="418"/>
        <item x="431"/>
        <item x="203"/>
        <item x="482"/>
        <item x="260"/>
        <item x="105"/>
        <item x="345"/>
        <item x="266"/>
        <item x="127"/>
        <item x="340"/>
        <item x="384"/>
        <item x="145"/>
        <item x="427"/>
        <item x="89"/>
        <item x="479"/>
        <item x="338"/>
        <item x="146"/>
        <item x="433"/>
        <item x="3"/>
        <item x="210"/>
        <item x="107"/>
        <item x="292"/>
        <item x="322"/>
        <item x="259"/>
        <item x="451"/>
        <item x="328"/>
        <item x="53"/>
        <item x="25"/>
        <item x="439"/>
        <item x="324"/>
        <item x="128"/>
        <item x="276"/>
        <item x="355"/>
        <item x="241"/>
        <item x="448"/>
        <item x="154"/>
        <item x="209"/>
        <item x="385"/>
        <item x="149"/>
        <item x="133"/>
        <item x="186"/>
        <item x="369"/>
        <item x="400"/>
        <item x="306"/>
        <item x="352"/>
        <item x="354"/>
        <item x="178"/>
        <item x="327"/>
        <item x="414"/>
        <item x="183"/>
        <item x="462"/>
        <item x="17"/>
        <item x="131"/>
        <item x="150"/>
        <item x="366"/>
        <item x="392"/>
        <item x="424"/>
        <item x="360"/>
        <item x="253"/>
        <item x="216"/>
        <item x="347"/>
        <item x="140"/>
        <item x="93"/>
        <item x="258"/>
        <item x="382"/>
        <item x="92"/>
        <item x="351"/>
        <item x="330"/>
        <item x="469"/>
        <item x="206"/>
        <item x="40"/>
        <item x="492"/>
        <item x="90"/>
        <item x="148"/>
        <item x="126"/>
        <item x="370"/>
        <item x="62"/>
        <item x="302"/>
        <item x="42"/>
        <item x="169"/>
        <item x="380"/>
        <item x="465"/>
        <item x="343"/>
        <item x="4"/>
        <item x="55"/>
        <item x="257"/>
        <item x="73"/>
        <item x="84"/>
        <item x="83"/>
        <item x="112"/>
        <item x="297"/>
        <item x="117"/>
        <item x="132"/>
        <item x="342"/>
        <item x="374"/>
        <item x="412"/>
        <item x="171"/>
        <item x="450"/>
        <item x="383"/>
        <item x="484"/>
        <item x="435"/>
        <item x="386"/>
        <item x="265"/>
        <item x="334"/>
        <item x="316"/>
        <item x="350"/>
        <item x="245"/>
        <item x="61"/>
        <item x="88"/>
        <item x="361"/>
        <item x="348"/>
        <item x="66"/>
        <item x="163"/>
        <item x="215"/>
        <item x="76"/>
        <item x="410"/>
        <item x="437"/>
        <item x="135"/>
        <item x="299"/>
        <item x="198"/>
        <item x="64"/>
        <item x="452"/>
        <item x="136"/>
        <item x="151"/>
        <item x="50"/>
        <item x="91"/>
        <item x="332"/>
        <item x="275"/>
        <item x="271"/>
        <item x="416"/>
        <item x="205"/>
        <item x="269"/>
        <item x="228"/>
        <item x="485"/>
        <item x="473"/>
        <item x="395"/>
        <item x="240"/>
        <item x="80"/>
        <item x="263"/>
        <item x="11"/>
        <item x="137"/>
        <item x="180"/>
        <item x="108"/>
        <item x="281"/>
        <item x="122"/>
        <item x="239"/>
        <item x="475"/>
        <item x="399"/>
        <item x="367"/>
        <item x="226"/>
        <item x="157"/>
        <item x="480"/>
        <item x="174"/>
        <item x="341"/>
        <item x="166"/>
        <item x="225"/>
        <item x="270"/>
        <item x="147"/>
        <item x="23"/>
        <item x="337"/>
        <item x="358"/>
        <item x="235"/>
        <item x="87"/>
        <item x="130"/>
        <item x="368"/>
        <item x="403"/>
        <item x="488"/>
        <item x="177"/>
        <item t="default"/>
      </items>
    </pivotField>
    <pivotField compact="0" showAll="0">
      <items count="501">
        <item x="315"/>
        <item x="294"/>
        <item x="472"/>
        <item x="474"/>
        <item x="319"/>
        <item x="446"/>
        <item x="123"/>
        <item x="152"/>
        <item x="162"/>
        <item x="57"/>
        <item x="201"/>
        <item x="33"/>
        <item x="67"/>
        <item x="95"/>
        <item x="280"/>
        <item x="346"/>
        <item x="111"/>
        <item x="79"/>
        <item x="24"/>
        <item x="153"/>
        <item x="411"/>
        <item x="56"/>
        <item x="478"/>
        <item x="143"/>
        <item x="100"/>
        <item x="296"/>
        <item x="434"/>
        <item x="425"/>
        <item x="471"/>
        <item x="41"/>
        <item x="196"/>
        <item x="74"/>
        <item x="312"/>
        <item x="349"/>
        <item x="467"/>
        <item x="224"/>
        <item x="97"/>
        <item x="104"/>
        <item x="44"/>
        <item x="118"/>
        <item x="432"/>
        <item x="14"/>
        <item x="113"/>
        <item x="320"/>
        <item x="387"/>
        <item x="285"/>
        <item x="243"/>
        <item x="398"/>
        <item x="7"/>
        <item x="19"/>
        <item x="106"/>
        <item x="176"/>
        <item x="300"/>
        <item x="199"/>
        <item x="2"/>
        <item x="365"/>
        <item x="124"/>
        <item x="200"/>
        <item x="470"/>
        <item x="456"/>
        <item x="98"/>
        <item x="405"/>
        <item x="357"/>
        <item x="407"/>
        <item x="187"/>
        <item x="36"/>
        <item x="426"/>
        <item x="182"/>
        <item x="460"/>
        <item x="5"/>
        <item x="195"/>
        <item x="344"/>
        <item x="372"/>
        <item x="221"/>
        <item x="63"/>
        <item x="30"/>
        <item x="114"/>
        <item x="231"/>
        <item x="282"/>
        <item x="267"/>
        <item x="293"/>
        <item x="173"/>
        <item x="455"/>
        <item x="464"/>
        <item x="222"/>
        <item x="440"/>
        <item x="214"/>
        <item x="202"/>
        <item x="48"/>
        <item x="207"/>
        <item x="227"/>
        <item x="250"/>
        <item x="242"/>
        <item x="22"/>
        <item x="373"/>
        <item x="310"/>
        <item x="295"/>
        <item x="164"/>
        <item x="12"/>
        <item x="223"/>
        <item x="404"/>
        <item x="388"/>
        <item x="192"/>
        <item x="129"/>
        <item x="35"/>
        <item x="429"/>
        <item x="179"/>
        <item x="442"/>
        <item x="78"/>
        <item x="99"/>
        <item x="37"/>
        <item x="60"/>
        <item x="336"/>
        <item x="251"/>
        <item x="81"/>
        <item x="486"/>
        <item x="234"/>
        <item x="457"/>
        <item x="193"/>
        <item x="47"/>
        <item x="289"/>
        <item x="213"/>
        <item x="413"/>
        <item x="103"/>
        <item x="39"/>
        <item x="26"/>
        <item x="261"/>
        <item x="71"/>
        <item x="28"/>
        <item x="94"/>
        <item x="325"/>
        <item x="291"/>
        <item x="391"/>
        <item x="284"/>
        <item x="461"/>
        <item x="236"/>
        <item x="308"/>
        <item x="254"/>
        <item x="430"/>
        <item x="356"/>
        <item x="21"/>
        <item x="497"/>
        <item x="230"/>
        <item x="232"/>
        <item x="96"/>
        <item x="185"/>
        <item x="274"/>
        <item x="376"/>
        <item x="290"/>
        <item x="248"/>
        <item x="34"/>
        <item x="441"/>
        <item x="421"/>
        <item x="156"/>
        <item x="155"/>
        <item x="401"/>
        <item x="363"/>
        <item x="458"/>
        <item x="45"/>
        <item x="20"/>
        <item x="218"/>
        <item x="428"/>
        <item x="444"/>
        <item x="420"/>
        <item x="321"/>
        <item x="423"/>
        <item x="13"/>
        <item x="229"/>
        <item x="495"/>
        <item x="75"/>
        <item x="396"/>
        <item x="277"/>
        <item x="247"/>
        <item x="491"/>
        <item x="333"/>
        <item x="389"/>
        <item x="419"/>
        <item x="141"/>
        <item x="329"/>
        <item x="139"/>
        <item x="49"/>
        <item x="417"/>
        <item x="188"/>
        <item x="377"/>
        <item x="165"/>
        <item x="6"/>
        <item x="496"/>
        <item x="305"/>
        <item x="463"/>
        <item x="409"/>
        <item x="279"/>
        <item x="72"/>
        <item x="422"/>
        <item x="318"/>
        <item x="494"/>
        <item x="219"/>
        <item x="125"/>
        <item x="303"/>
        <item x="65"/>
        <item x="246"/>
        <item x="116"/>
        <item x="273"/>
        <item x="211"/>
        <item x="436"/>
        <item x="288"/>
        <item x="110"/>
        <item x="256"/>
        <item x="375"/>
        <item x="120"/>
        <item x="311"/>
        <item x="286"/>
        <item x="499"/>
        <item x="194"/>
        <item x="86"/>
        <item x="175"/>
        <item x="68"/>
        <item x="16"/>
        <item x="238"/>
        <item x="212"/>
        <item x="283"/>
        <item x="172"/>
        <item x="408"/>
        <item x="287"/>
        <item x="102"/>
        <item x="459"/>
        <item x="278"/>
        <item x="220"/>
        <item x="167"/>
        <item x="46"/>
        <item x="43"/>
        <item x="144"/>
        <item x="1"/>
        <item x="268"/>
        <item x="204"/>
        <item x="0"/>
        <item x="379"/>
        <item x="233"/>
        <item x="438"/>
        <item x="381"/>
        <item x="69"/>
        <item x="449"/>
        <item x="59"/>
        <item x="10"/>
        <item x="32"/>
        <item x="415"/>
        <item x="362"/>
        <item x="489"/>
        <item x="313"/>
        <item x="477"/>
        <item x="443"/>
        <item x="487"/>
        <item x="493"/>
        <item x="323"/>
        <item x="326"/>
        <item x="77"/>
        <item x="203"/>
        <item x="397"/>
        <item x="197"/>
        <item x="378"/>
        <item x="58"/>
        <item x="8"/>
        <item x="3"/>
        <item x="433"/>
        <item x="264"/>
        <item x="9"/>
        <item x="481"/>
        <item x="331"/>
        <item x="445"/>
        <item x="189"/>
        <item x="142"/>
        <item x="145"/>
        <item x="262"/>
        <item x="317"/>
        <item x="82"/>
        <item x="146"/>
        <item x="301"/>
        <item x="272"/>
        <item x="217"/>
        <item x="371"/>
        <item x="298"/>
        <item x="168"/>
        <item x="447"/>
        <item x="27"/>
        <item x="184"/>
        <item x="208"/>
        <item x="209"/>
        <item x="406"/>
        <item x="439"/>
        <item x="400"/>
        <item x="359"/>
        <item x="309"/>
        <item x="109"/>
        <item x="237"/>
        <item x="170"/>
        <item x="304"/>
        <item x="15"/>
        <item x="479"/>
        <item x="190"/>
        <item x="134"/>
        <item x="307"/>
        <item x="424"/>
        <item x="133"/>
        <item x="70"/>
        <item x="364"/>
        <item x="138"/>
        <item x="327"/>
        <item x="340"/>
        <item x="385"/>
        <item x="324"/>
        <item x="306"/>
        <item x="360"/>
        <item x="392"/>
        <item x="51"/>
        <item x="252"/>
        <item x="462"/>
        <item x="345"/>
        <item x="355"/>
        <item x="490"/>
        <item x="343"/>
        <item x="322"/>
        <item x="54"/>
        <item x="31"/>
        <item x="89"/>
        <item x="255"/>
        <item x="253"/>
        <item x="468"/>
        <item x="161"/>
        <item x="498"/>
        <item x="115"/>
        <item x="418"/>
        <item x="258"/>
        <item x="105"/>
        <item x="402"/>
        <item x="454"/>
        <item x="249"/>
        <item x="244"/>
        <item x="158"/>
        <item x="386"/>
        <item x="53"/>
        <item x="171"/>
        <item x="121"/>
        <item x="483"/>
        <item x="393"/>
        <item x="466"/>
        <item x="85"/>
        <item x="299"/>
        <item x="160"/>
        <item x="257"/>
        <item x="339"/>
        <item x="159"/>
        <item x="149"/>
        <item x="370"/>
        <item x="260"/>
        <item x="181"/>
        <item x="101"/>
        <item x="448"/>
        <item x="131"/>
        <item x="4"/>
        <item x="276"/>
        <item x="451"/>
        <item x="347"/>
        <item x="366"/>
        <item x="427"/>
        <item x="335"/>
        <item x="453"/>
        <item x="328"/>
        <item x="119"/>
        <item x="126"/>
        <item x="352"/>
        <item x="136"/>
        <item x="205"/>
        <item x="18"/>
        <item x="354"/>
        <item x="191"/>
        <item x="151"/>
        <item x="127"/>
        <item x="475"/>
        <item x="353"/>
        <item x="302"/>
        <item x="38"/>
        <item x="384"/>
        <item x="332"/>
        <item x="52"/>
        <item x="476"/>
        <item x="55"/>
        <item x="314"/>
        <item x="380"/>
        <item x="29"/>
        <item x="157"/>
        <item x="241"/>
        <item x="83"/>
        <item x="107"/>
        <item x="292"/>
        <item x="390"/>
        <item x="154"/>
        <item x="84"/>
        <item x="394"/>
        <item x="61"/>
        <item x="183"/>
        <item x="410"/>
        <item x="216"/>
        <item x="480"/>
        <item x="431"/>
        <item x="488"/>
        <item x="263"/>
        <item x="50"/>
        <item x="150"/>
        <item x="239"/>
        <item x="186"/>
        <item x="240"/>
        <item x="465"/>
        <item x="259"/>
        <item x="281"/>
        <item x="225"/>
        <item x="482"/>
        <item x="25"/>
        <item x="87"/>
        <item x="132"/>
        <item x="369"/>
        <item x="245"/>
        <item x="469"/>
        <item x="62"/>
        <item x="128"/>
        <item x="266"/>
        <item x="368"/>
        <item x="135"/>
        <item x="412"/>
        <item x="275"/>
        <item x="473"/>
        <item x="210"/>
        <item x="92"/>
        <item x="338"/>
        <item x="382"/>
        <item x="452"/>
        <item x="163"/>
        <item x="330"/>
        <item x="198"/>
        <item x="350"/>
        <item x="484"/>
        <item x="450"/>
        <item x="414"/>
        <item x="206"/>
        <item x="140"/>
        <item x="269"/>
        <item x="492"/>
        <item x="235"/>
        <item x="73"/>
        <item x="316"/>
        <item x="437"/>
        <item x="91"/>
        <item x="117"/>
        <item x="215"/>
        <item x="147"/>
        <item x="90"/>
        <item x="348"/>
        <item x="178"/>
        <item x="112"/>
        <item x="17"/>
        <item x="93"/>
        <item x="76"/>
        <item x="130"/>
        <item x="383"/>
        <item x="228"/>
        <item x="358"/>
        <item x="64"/>
        <item x="435"/>
        <item x="42"/>
        <item x="40"/>
        <item x="403"/>
        <item x="334"/>
        <item x="416"/>
        <item x="88"/>
        <item x="148"/>
        <item x="374"/>
        <item x="297"/>
        <item x="351"/>
        <item x="169"/>
        <item x="180"/>
        <item x="342"/>
        <item x="66"/>
        <item x="485"/>
        <item x="395"/>
        <item x="265"/>
        <item x="108"/>
        <item x="361"/>
        <item x="271"/>
        <item x="399"/>
        <item x="23"/>
        <item x="174"/>
        <item x="226"/>
        <item x="270"/>
        <item x="80"/>
        <item x="367"/>
        <item x="122"/>
        <item x="137"/>
        <item x="11"/>
        <item x="341"/>
        <item x="337"/>
        <item x="166"/>
        <item x="177"/>
        <item t="default"/>
      </items>
    </pivotField>
    <pivotField compact="0" numFmtId="3" showAll="0">
      <items count="501">
        <item x="313"/>
        <item x="269"/>
        <item x="401"/>
        <item x="99"/>
        <item x="492"/>
        <item x="272"/>
        <item x="215"/>
        <item x="167"/>
        <item x="163"/>
        <item x="121"/>
        <item x="362"/>
        <item x="243"/>
        <item x="213"/>
        <item x="8"/>
        <item x="294"/>
        <item x="189"/>
        <item x="319"/>
        <item x="386"/>
        <item x="11"/>
        <item x="76"/>
        <item x="482"/>
        <item x="426"/>
        <item x="186"/>
        <item x="212"/>
        <item x="459"/>
        <item x="150"/>
        <item x="371"/>
        <item x="346"/>
        <item x="216"/>
        <item x="96"/>
        <item x="139"/>
        <item x="181"/>
        <item x="15"/>
        <item x="473"/>
        <item x="233"/>
        <item x="48"/>
        <item x="353"/>
        <item x="284"/>
        <item x="126"/>
        <item x="464"/>
        <item x="405"/>
        <item x="490"/>
        <item x="7"/>
        <item x="49"/>
        <item x="1"/>
        <item x="236"/>
        <item x="244"/>
        <item x="407"/>
        <item x="472"/>
        <item x="286"/>
        <item x="117"/>
        <item x="234"/>
        <item x="123"/>
        <item x="348"/>
        <item x="454"/>
        <item x="273"/>
        <item x="495"/>
        <item x="336"/>
        <item x="389"/>
        <item x="316"/>
        <item x="338"/>
        <item x="289"/>
        <item x="498"/>
        <item x="422"/>
        <item x="366"/>
        <item x="12"/>
        <item x="175"/>
        <item x="32"/>
        <item x="30"/>
        <item x="396"/>
        <item x="242"/>
        <item x="276"/>
        <item x="278"/>
        <item x="144"/>
        <item x="416"/>
        <item x="152"/>
        <item x="253"/>
        <item x="283"/>
        <item x="469"/>
        <item x="180"/>
        <item x="6"/>
        <item x="462"/>
        <item x="71"/>
        <item x="437"/>
        <item x="494"/>
        <item x="29"/>
        <item x="232"/>
        <item x="474"/>
        <item x="267"/>
        <item x="39"/>
        <item x="340"/>
        <item x="260"/>
        <item x="471"/>
        <item x="322"/>
        <item x="169"/>
        <item x="64"/>
        <item x="191"/>
        <item x="420"/>
        <item x="14"/>
        <item x="328"/>
        <item x="365"/>
        <item x="143"/>
        <item x="154"/>
        <item x="133"/>
        <item x="52"/>
        <item x="263"/>
        <item x="285"/>
        <item x="239"/>
        <item x="36"/>
        <item x="55"/>
        <item x="61"/>
        <item x="235"/>
        <item x="308"/>
        <item x="128"/>
        <item x="57"/>
        <item x="28"/>
        <item x="145"/>
        <item x="83"/>
        <item x="357"/>
        <item x="194"/>
        <item x="91"/>
        <item x="329"/>
        <item x="417"/>
        <item x="485"/>
        <item x="440"/>
        <item x="227"/>
        <item x="321"/>
        <item x="192"/>
        <item x="361"/>
        <item x="74"/>
        <item x="38"/>
        <item x="158"/>
        <item x="318"/>
        <item x="248"/>
        <item x="84"/>
        <item x="375"/>
        <item x="224"/>
        <item x="457"/>
        <item x="393"/>
        <item x="3"/>
        <item x="403"/>
        <item x="228"/>
        <item x="178"/>
        <item x="282"/>
        <item x="415"/>
        <item x="306"/>
        <item x="75"/>
        <item x="68"/>
        <item x="427"/>
        <item x="317"/>
        <item x="201"/>
        <item x="165"/>
        <item x="452"/>
        <item x="453"/>
        <item x="447"/>
        <item x="86"/>
        <item x="314"/>
        <item x="113"/>
        <item x="356"/>
        <item x="225"/>
        <item x="296"/>
        <item x="488"/>
        <item x="279"/>
        <item x="47"/>
        <item x="203"/>
        <item x="468"/>
        <item x="288"/>
        <item x="54"/>
        <item x="430"/>
        <item x="93"/>
        <item x="484"/>
        <item x="43"/>
        <item x="252"/>
        <item x="77"/>
        <item x="342"/>
        <item x="141"/>
        <item x="171"/>
        <item x="277"/>
        <item x="246"/>
        <item x="326"/>
        <item x="351"/>
        <item x="369"/>
        <item x="73"/>
        <item x="497"/>
        <item x="418"/>
        <item x="442"/>
        <item x="254"/>
        <item x="204"/>
        <item x="237"/>
        <item x="465"/>
        <item x="168"/>
        <item x="327"/>
        <item x="78"/>
        <item x="298"/>
        <item x="460"/>
        <item x="429"/>
        <item x="226"/>
        <item x="332"/>
        <item x="53"/>
        <item x="358"/>
        <item x="290"/>
        <item x="190"/>
        <item x="487"/>
        <item x="219"/>
        <item x="18"/>
        <item x="446"/>
        <item x="179"/>
        <item x="2"/>
        <item x="412"/>
        <item x="206"/>
        <item x="35"/>
        <item x="45"/>
        <item x="37"/>
        <item x="176"/>
        <item x="325"/>
        <item x="157"/>
        <item x="410"/>
        <item x="333"/>
        <item x="481"/>
        <item x="378"/>
        <item x="95"/>
        <item x="335"/>
        <item x="458"/>
        <item x="24"/>
        <item x="385"/>
        <item x="449"/>
        <item x="370"/>
        <item x="480"/>
        <item x="305"/>
        <item x="211"/>
        <item x="409"/>
        <item x="160"/>
        <item x="388"/>
        <item x="255"/>
        <item x="161"/>
        <item x="104"/>
        <item x="0"/>
        <item x="441"/>
        <item x="97"/>
        <item x="257"/>
        <item x="59"/>
        <item x="195"/>
        <item x="79"/>
        <item x="182"/>
        <item x="337"/>
        <item x="119"/>
        <item x="281"/>
        <item x="368"/>
        <item x="382"/>
        <item x="310"/>
        <item x="90"/>
        <item x="13"/>
        <item x="159"/>
        <item x="264"/>
        <item x="461"/>
        <item x="5"/>
        <item x="200"/>
        <item x="112"/>
        <item x="146"/>
        <item x="367"/>
        <item x="400"/>
        <item x="20"/>
        <item x="271"/>
        <item x="177"/>
        <item x="411"/>
        <item x="98"/>
        <item x="127"/>
        <item x="166"/>
        <item x="147"/>
        <item x="377"/>
        <item x="66"/>
        <item x="184"/>
        <item x="421"/>
        <item x="303"/>
        <item x="349"/>
        <item x="372"/>
        <item x="218"/>
        <item x="183"/>
        <item x="89"/>
        <item x="23"/>
        <item x="111"/>
        <item x="428"/>
        <item x="230"/>
        <item x="106"/>
        <item x="19"/>
        <item x="359"/>
        <item x="295"/>
        <item x="343"/>
        <item x="63"/>
        <item x="172"/>
        <item x="438"/>
        <item x="245"/>
        <item x="62"/>
        <item x="137"/>
        <item x="208"/>
        <item x="92"/>
        <item x="404"/>
        <item x="82"/>
        <item x="70"/>
        <item x="470"/>
        <item x="22"/>
        <item x="222"/>
        <item x="131"/>
        <item x="125"/>
        <item x="81"/>
        <item x="499"/>
        <item x="390"/>
        <item x="251"/>
        <item x="198"/>
        <item x="85"/>
        <item x="320"/>
        <item x="435"/>
        <item x="249"/>
        <item x="466"/>
        <item x="174"/>
        <item x="432"/>
        <item x="419"/>
        <item x="27"/>
        <item x="132"/>
        <item x="443"/>
        <item x="60"/>
        <item x="394"/>
        <item x="26"/>
        <item x="108"/>
        <item x="376"/>
        <item x="287"/>
        <item x="58"/>
        <item x="34"/>
        <item x="100"/>
        <item x="486"/>
        <item x="110"/>
        <item x="266"/>
        <item x="451"/>
        <item x="196"/>
        <item x="399"/>
        <item x="229"/>
        <item x="120"/>
        <item x="408"/>
        <item x="450"/>
        <item x="142"/>
        <item x="118"/>
        <item x="330"/>
        <item x="476"/>
        <item x="197"/>
        <item x="483"/>
        <item x="103"/>
        <item x="424"/>
        <item x="496"/>
        <item x="297"/>
        <item x="364"/>
        <item x="88"/>
        <item x="344"/>
        <item x="149"/>
        <item x="202"/>
        <item x="315"/>
        <item x="31"/>
        <item x="265"/>
        <item x="238"/>
        <item x="56"/>
        <item x="87"/>
        <item x="193"/>
        <item x="270"/>
        <item x="324"/>
        <item x="21"/>
        <item x="258"/>
        <item x="44"/>
        <item x="241"/>
        <item x="312"/>
        <item x="205"/>
        <item x="339"/>
        <item x="493"/>
        <item x="187"/>
        <item x="240"/>
        <item x="402"/>
        <item x="413"/>
        <item x="50"/>
        <item x="436"/>
        <item x="156"/>
        <item x="292"/>
        <item x="148"/>
        <item x="67"/>
        <item x="94"/>
        <item x="124"/>
        <item x="301"/>
        <item x="136"/>
        <item x="363"/>
        <item x="380"/>
        <item x="395"/>
        <item x="491"/>
        <item x="122"/>
        <item x="334"/>
        <item x="262"/>
        <item x="489"/>
        <item x="188"/>
        <item x="217"/>
        <item x="135"/>
        <item x="185"/>
        <item x="151"/>
        <item x="51"/>
        <item x="42"/>
        <item x="384"/>
        <item x="352"/>
        <item x="479"/>
        <item x="280"/>
        <item x="199"/>
        <item x="304"/>
        <item x="114"/>
        <item x="331"/>
        <item x="383"/>
        <item x="448"/>
        <item x="302"/>
        <item x="72"/>
        <item x="162"/>
        <item x="444"/>
        <item x="138"/>
        <item x="433"/>
        <item x="46"/>
        <item x="309"/>
        <item x="475"/>
        <item x="102"/>
        <item x="391"/>
        <item x="105"/>
        <item x="414"/>
        <item x="360"/>
        <item x="17"/>
        <item x="40"/>
        <item x="214"/>
        <item x="107"/>
        <item x="275"/>
        <item x="231"/>
        <item x="247"/>
        <item x="434"/>
        <item x="423"/>
        <item x="41"/>
        <item x="307"/>
        <item x="398"/>
        <item x="431"/>
        <item x="65"/>
        <item x="381"/>
        <item x="155"/>
        <item x="478"/>
        <item x="116"/>
        <item x="374"/>
        <item x="373"/>
        <item x="323"/>
        <item x="9"/>
        <item x="220"/>
        <item x="379"/>
        <item x="109"/>
        <item x="16"/>
        <item x="445"/>
        <item x="392"/>
        <item x="25"/>
        <item x="153"/>
        <item x="80"/>
        <item x="425"/>
        <item x="355"/>
        <item x="207"/>
        <item x="33"/>
        <item x="101"/>
        <item x="439"/>
        <item x="261"/>
        <item x="4"/>
        <item x="173"/>
        <item x="210"/>
        <item x="69"/>
        <item x="274"/>
        <item x="293"/>
        <item x="300"/>
        <item x="455"/>
        <item x="347"/>
        <item x="406"/>
        <item x="256"/>
        <item x="397"/>
        <item x="170"/>
        <item x="463"/>
        <item x="354"/>
        <item x="456"/>
        <item x="345"/>
        <item x="259"/>
        <item x="10"/>
        <item x="209"/>
        <item x="291"/>
        <item x="299"/>
        <item x="134"/>
        <item x="350"/>
        <item x="115"/>
        <item x="268"/>
        <item x="341"/>
        <item x="387"/>
        <item x="130"/>
        <item x="250"/>
        <item x="221"/>
        <item x="311"/>
        <item x="164"/>
        <item x="467"/>
        <item x="140"/>
        <item x="223"/>
        <item x="129"/>
        <item x="477"/>
        <item t="default"/>
      </items>
    </pivotField>
    <pivotField compact="0" numFmtId="3" showAll="0">
      <items count="483">
        <item x="346"/>
        <item x="407"/>
        <item x="281"/>
        <item x="444"/>
        <item x="345"/>
        <item x="315"/>
        <item x="284"/>
        <item x="338"/>
        <item x="335"/>
        <item x="266"/>
        <item x="464"/>
        <item x="1"/>
        <item x="168"/>
        <item x="188"/>
        <item x="300"/>
        <item x="12"/>
        <item x="243"/>
        <item x="187"/>
        <item x="280"/>
        <item x="174"/>
        <item x="269"/>
        <item x="116"/>
        <item x="278"/>
        <item x="404"/>
        <item x="38"/>
        <item x="125"/>
        <item x="83"/>
        <item x="306"/>
        <item x="90"/>
        <item x="328"/>
        <item x="217"/>
        <item x="438"/>
        <item x="180"/>
        <item x="157"/>
        <item x="417"/>
        <item x="70"/>
        <item x="223"/>
        <item x="225"/>
        <item x="6"/>
        <item x="194"/>
        <item x="15"/>
        <item x="375"/>
        <item x="199"/>
        <item x="252"/>
        <item x="144"/>
        <item x="387"/>
        <item x="88"/>
        <item x="356"/>
        <item x="43"/>
        <item x="385"/>
        <item x="46"/>
        <item x="179"/>
        <item x="98"/>
        <item x="357"/>
        <item x="398"/>
        <item x="109"/>
        <item x="20"/>
        <item x="160"/>
        <item x="222"/>
        <item x="218"/>
        <item x="195"/>
        <item x="476"/>
        <item x="227"/>
        <item x="334"/>
        <item x="214"/>
        <item x="142"/>
        <item x="478"/>
        <item x="446"/>
        <item x="226"/>
        <item x="390"/>
        <item x="201"/>
        <item x="24"/>
        <item x="156"/>
        <item x="86"/>
        <item x="307"/>
        <item x="84"/>
        <item x="313"/>
        <item x="138"/>
        <item x="205"/>
        <item x="124"/>
        <item x="383"/>
        <item x="21"/>
        <item x="136"/>
        <item x="213"/>
        <item x="185"/>
        <item x="312"/>
        <item x="240"/>
        <item x="35"/>
        <item x="449"/>
        <item x="122"/>
        <item x="162"/>
        <item x="198"/>
        <item x="190"/>
        <item x="113"/>
        <item x="60"/>
        <item x="426"/>
        <item x="326"/>
        <item x="351"/>
        <item x="63"/>
        <item x="259"/>
        <item x="282"/>
        <item x="447"/>
        <item x="49"/>
        <item x="427"/>
        <item x="166"/>
        <item x="366"/>
        <item x="74"/>
        <item x="92"/>
        <item x="360"/>
        <item x="106"/>
        <item x="413"/>
        <item x="75"/>
        <item x="409"/>
        <item x="112"/>
        <item x="104"/>
        <item x="352"/>
        <item x="149"/>
        <item x="145"/>
        <item x="425"/>
        <item x="87"/>
        <item x="14"/>
        <item x="289"/>
        <item x="394"/>
        <item x="339"/>
        <item x="361"/>
        <item x="353"/>
        <item x="8"/>
        <item x="120"/>
        <item x="340"/>
        <item x="11"/>
        <item x="260"/>
        <item x="76"/>
        <item x="256"/>
        <item x="53"/>
        <item x="228"/>
        <item x="241"/>
        <item x="466"/>
        <item x="321"/>
        <item x="211"/>
        <item x="412"/>
        <item x="28"/>
        <item x="203"/>
        <item x="433"/>
        <item x="389"/>
        <item x="54"/>
        <item x="403"/>
        <item x="318"/>
        <item x="457"/>
        <item x="432"/>
        <item x="30"/>
        <item x="453"/>
        <item x="58"/>
        <item x="237"/>
        <item x="100"/>
        <item x="182"/>
        <item x="164"/>
        <item x="192"/>
        <item x="238"/>
        <item x="264"/>
        <item x="108"/>
        <item x="64"/>
        <item x="210"/>
        <item x="277"/>
        <item x="468"/>
        <item x="103"/>
        <item x="52"/>
        <item x="292"/>
        <item x="50"/>
        <item x="209"/>
        <item x="119"/>
        <item x="55"/>
        <item x="290"/>
        <item x="141"/>
        <item x="458"/>
        <item x="242"/>
        <item x="415"/>
        <item x="320"/>
        <item x="465"/>
        <item x="72"/>
        <item x="107"/>
        <item x="153"/>
        <item x="235"/>
        <item x="301"/>
        <item x="254"/>
        <item x="184"/>
        <item x="17"/>
        <item x="143"/>
        <item x="250"/>
        <item x="414"/>
        <item x="93"/>
        <item x="460"/>
        <item x="469"/>
        <item x="274"/>
        <item x="95"/>
        <item x="376"/>
        <item x="448"/>
        <item x="479"/>
        <item x="324"/>
        <item x="396"/>
        <item x="73"/>
        <item x="39"/>
        <item x="384"/>
        <item x="7"/>
        <item x="248"/>
        <item x="461"/>
        <item x="135"/>
        <item x="365"/>
        <item x="31"/>
        <item x="29"/>
        <item x="231"/>
        <item x="303"/>
        <item x="257"/>
        <item x="380"/>
        <item x="474"/>
        <item x="196"/>
        <item x="78"/>
        <item x="48"/>
        <item x="272"/>
        <item x="26"/>
        <item x="392"/>
        <item x="456"/>
        <item x="97"/>
        <item x="177"/>
        <item x="310"/>
        <item x="47"/>
        <item x="69"/>
        <item x="146"/>
        <item x="13"/>
        <item x="51"/>
        <item x="158"/>
        <item x="59"/>
        <item x="234"/>
        <item x="251"/>
        <item x="167"/>
        <item x="56"/>
        <item x="319"/>
        <item x="455"/>
        <item x="480"/>
        <item x="232"/>
        <item x="379"/>
        <item x="110"/>
        <item x="57"/>
        <item x="151"/>
        <item x="439"/>
        <item x="327"/>
        <item x="399"/>
        <item x="279"/>
        <item x="442"/>
        <item x="336"/>
        <item x="132"/>
        <item x="249"/>
        <item x="370"/>
        <item x="330"/>
        <item x="189"/>
        <item x="295"/>
        <item x="161"/>
        <item x="350"/>
        <item x="42"/>
        <item x="220"/>
        <item x="424"/>
        <item x="230"/>
        <item x="175"/>
        <item x="267"/>
        <item x="118"/>
        <item x="171"/>
        <item x="347"/>
        <item x="82"/>
        <item x="405"/>
        <item x="286"/>
        <item x="239"/>
        <item x="322"/>
        <item x="467"/>
        <item x="332"/>
        <item x="475"/>
        <item x="421"/>
        <item x="27"/>
        <item x="348"/>
        <item x="37"/>
        <item x="288"/>
        <item x="129"/>
        <item x="61"/>
        <item x="193"/>
        <item x="451"/>
        <item x="462"/>
        <item x="245"/>
        <item x="3"/>
        <item x="202"/>
        <item x="233"/>
        <item x="170"/>
        <item x="207"/>
        <item x="163"/>
        <item x="127"/>
        <item x="212"/>
        <item x="428"/>
        <item x="378"/>
        <item x="358"/>
        <item x="67"/>
        <item x="349"/>
        <item x="165"/>
        <item x="419"/>
        <item x="81"/>
        <item x="200"/>
        <item x="18"/>
        <item x="105"/>
        <item x="329"/>
        <item x="121"/>
        <item x="246"/>
        <item x="372"/>
        <item x="299"/>
        <item x="393"/>
        <item x="96"/>
        <item x="94"/>
        <item x="80"/>
        <item x="85"/>
        <item x="206"/>
        <item x="178"/>
        <item x="343"/>
        <item x="452"/>
        <item x="445"/>
        <item x="443"/>
        <item x="273"/>
        <item x="296"/>
        <item x="402"/>
        <item x="440"/>
        <item x="261"/>
        <item x="155"/>
        <item x="253"/>
        <item x="262"/>
        <item x="311"/>
        <item x="68"/>
        <item x="283"/>
        <item x="134"/>
        <item x="435"/>
        <item x="244"/>
        <item x="66"/>
        <item x="101"/>
        <item x="298"/>
        <item x="271"/>
        <item x="472"/>
        <item x="333"/>
        <item x="355"/>
        <item x="258"/>
        <item x="77"/>
        <item x="44"/>
        <item x="140"/>
        <item x="354"/>
        <item x="471"/>
        <item x="275"/>
        <item x="181"/>
        <item x="22"/>
        <item x="34"/>
        <item x="102"/>
        <item x="422"/>
        <item x="99"/>
        <item x="454"/>
        <item x="23"/>
        <item x="204"/>
        <item x="216"/>
        <item x="176"/>
        <item x="371"/>
        <item x="291"/>
        <item x="45"/>
        <item x="308"/>
        <item x="293"/>
        <item x="183"/>
        <item x="450"/>
        <item x="325"/>
        <item x="341"/>
        <item x="367"/>
        <item x="285"/>
        <item x="401"/>
        <item x="19"/>
        <item x="368"/>
        <item x="152"/>
        <item x="436"/>
        <item x="263"/>
        <item x="224"/>
        <item x="5"/>
        <item x="36"/>
        <item x="294"/>
        <item x="397"/>
        <item x="9"/>
        <item x="172"/>
        <item x="416"/>
        <item x="373"/>
        <item x="400"/>
        <item x="186"/>
        <item x="418"/>
        <item x="481"/>
        <item x="359"/>
        <item x="130"/>
        <item x="137"/>
        <item x="2"/>
        <item x="0"/>
        <item x="410"/>
        <item x="268"/>
        <item x="111"/>
        <item x="62"/>
        <item x="430"/>
        <item x="437"/>
        <item x="470"/>
        <item x="388"/>
        <item x="126"/>
        <item x="208"/>
        <item x="159"/>
        <item x="391"/>
        <item x="374"/>
        <item x="363"/>
        <item x="115"/>
        <item x="215"/>
        <item x="117"/>
        <item x="41"/>
        <item x="65"/>
        <item x="265"/>
        <item x="139"/>
        <item x="323"/>
        <item x="473"/>
        <item x="302"/>
        <item x="89"/>
        <item x="91"/>
        <item x="331"/>
        <item x="309"/>
        <item x="406"/>
        <item x="255"/>
        <item x="236"/>
        <item x="317"/>
        <item x="314"/>
        <item x="362"/>
        <item x="411"/>
        <item x="71"/>
        <item x="344"/>
        <item x="408"/>
        <item x="377"/>
        <item x="191"/>
        <item x="173"/>
        <item x="150"/>
        <item x="33"/>
        <item x="128"/>
        <item x="369"/>
        <item x="270"/>
        <item x="287"/>
        <item x="123"/>
        <item x="429"/>
        <item x="364"/>
        <item x="131"/>
        <item x="423"/>
        <item x="276"/>
        <item x="147"/>
        <item x="477"/>
        <item x="304"/>
        <item x="148"/>
        <item x="382"/>
        <item x="25"/>
        <item x="297"/>
        <item x="459"/>
        <item x="197"/>
        <item x="154"/>
        <item x="229"/>
        <item x="395"/>
        <item x="219"/>
        <item x="32"/>
        <item x="420"/>
        <item x="337"/>
        <item x="221"/>
        <item x="434"/>
        <item x="247"/>
        <item x="316"/>
        <item x="463"/>
        <item x="305"/>
        <item x="342"/>
        <item x="381"/>
        <item x="386"/>
        <item x="79"/>
        <item x="114"/>
        <item x="4"/>
        <item x="441"/>
        <item x="40"/>
        <item x="133"/>
        <item x="16"/>
        <item x="169"/>
        <item x="431"/>
        <item x="10"/>
        <item t="default"/>
      </items>
    </pivotField>
    <pivotField dataField="1" compact="0" numFmtId="3" showAll="0">
      <items count="352">
        <item x="48"/>
        <item x="311"/>
        <item x="231"/>
        <item x="134"/>
        <item x="13"/>
        <item x="189"/>
        <item x="138"/>
        <item x="120"/>
        <item x="275"/>
        <item x="254"/>
        <item x="276"/>
        <item x="9"/>
        <item x="14"/>
        <item x="37"/>
        <item x="1"/>
        <item x="24"/>
        <item x="81"/>
        <item x="338"/>
        <item x="88"/>
        <item x="35"/>
        <item x="262"/>
        <item x="285"/>
        <item x="67"/>
        <item x="113"/>
        <item x="333"/>
        <item x="145"/>
        <item x="252"/>
        <item x="147"/>
        <item x="85"/>
        <item x="22"/>
        <item x="122"/>
        <item x="186"/>
        <item x="43"/>
        <item x="330"/>
        <item x="156"/>
        <item x="327"/>
        <item x="219"/>
        <item x="142"/>
        <item x="278"/>
        <item x="305"/>
        <item x="173"/>
        <item x="221"/>
        <item x="248"/>
        <item x="126"/>
        <item x="168"/>
        <item x="232"/>
        <item x="137"/>
        <item x="202"/>
        <item x="118"/>
        <item x="79"/>
        <item x="205"/>
        <item x="199"/>
        <item x="19"/>
        <item x="273"/>
        <item x="132"/>
        <item x="150"/>
        <item x="230"/>
        <item x="12"/>
        <item x="347"/>
        <item x="242"/>
        <item x="52"/>
        <item x="233"/>
        <item x="176"/>
        <item x="78"/>
        <item x="334"/>
        <item x="267"/>
        <item x="42"/>
        <item x="329"/>
        <item x="110"/>
        <item x="15"/>
        <item x="11"/>
        <item x="91"/>
        <item x="310"/>
        <item x="131"/>
        <item x="128"/>
        <item x="127"/>
        <item x="256"/>
        <item x="100"/>
        <item x="72"/>
        <item x="188"/>
        <item x="349"/>
        <item x="161"/>
        <item x="159"/>
        <item x="106"/>
        <item x="160"/>
        <item x="66"/>
        <item x="255"/>
        <item x="178"/>
        <item x="171"/>
        <item x="158"/>
        <item x="59"/>
        <item x="235"/>
        <item x="195"/>
        <item x="213"/>
        <item x="172"/>
        <item x="250"/>
        <item x="83"/>
        <item x="269"/>
        <item x="332"/>
        <item x="146"/>
        <item x="264"/>
        <item x="40"/>
        <item x="182"/>
        <item x="153"/>
        <item x="107"/>
        <item x="209"/>
        <item x="117"/>
        <item x="281"/>
        <item x="229"/>
        <item x="237"/>
        <item x="36"/>
        <item x="51"/>
        <item x="27"/>
        <item x="191"/>
        <item x="325"/>
        <item x="238"/>
        <item x="30"/>
        <item x="206"/>
        <item x="62"/>
        <item x="104"/>
        <item x="157"/>
        <item x="39"/>
        <item x="190"/>
        <item x="6"/>
        <item x="197"/>
        <item x="277"/>
        <item x="125"/>
        <item x="82"/>
        <item x="139"/>
        <item x="187"/>
        <item x="177"/>
        <item x="63"/>
        <item x="115"/>
        <item x="46"/>
        <item x="284"/>
        <item x="50"/>
        <item x="23"/>
        <item x="93"/>
        <item x="164"/>
        <item x="298"/>
        <item x="116"/>
        <item x="184"/>
        <item x="143"/>
        <item x="74"/>
        <item x="111"/>
        <item x="92"/>
        <item x="253"/>
        <item x="20"/>
        <item x="318"/>
        <item x="306"/>
        <item x="295"/>
        <item x="7"/>
        <item x="223"/>
        <item x="179"/>
        <item x="96"/>
        <item x="45"/>
        <item x="239"/>
        <item x="154"/>
        <item x="345"/>
        <item x="224"/>
        <item x="323"/>
        <item x="21"/>
        <item x="350"/>
        <item x="249"/>
        <item x="53"/>
        <item x="192"/>
        <item x="69"/>
        <item x="8"/>
        <item x="57"/>
        <item x="71"/>
        <item x="301"/>
        <item x="49"/>
        <item x="29"/>
        <item x="3"/>
        <item x="226"/>
        <item x="344"/>
        <item x="245"/>
        <item x="101"/>
        <item x="98"/>
        <item x="17"/>
        <item x="194"/>
        <item x="270"/>
        <item x="307"/>
        <item x="263"/>
        <item x="167"/>
        <item x="200"/>
        <item x="251"/>
        <item x="217"/>
        <item x="151"/>
        <item x="165"/>
        <item x="319"/>
        <item x="317"/>
        <item x="212"/>
        <item x="87"/>
        <item x="265"/>
        <item x="240"/>
        <item x="271"/>
        <item x="214"/>
        <item x="119"/>
        <item x="257"/>
        <item x="103"/>
        <item x="56"/>
        <item x="339"/>
        <item x="31"/>
        <item x="216"/>
        <item x="326"/>
        <item x="55"/>
        <item x="102"/>
        <item x="207"/>
        <item x="236"/>
        <item x="175"/>
        <item x="316"/>
        <item x="208"/>
        <item x="54"/>
        <item x="86"/>
        <item x="287"/>
        <item x="259"/>
        <item x="109"/>
        <item x="341"/>
        <item x="80"/>
        <item x="163"/>
        <item x="4"/>
        <item x="90"/>
        <item x="211"/>
        <item x="193"/>
        <item x="346"/>
        <item x="170"/>
        <item x="304"/>
        <item x="288"/>
        <item x="76"/>
        <item x="174"/>
        <item x="32"/>
        <item x="258"/>
        <item x="135"/>
        <item x="312"/>
        <item x="44"/>
        <item x="293"/>
        <item x="290"/>
        <item x="291"/>
        <item x="99"/>
        <item x="246"/>
        <item x="260"/>
        <item x="114"/>
        <item x="70"/>
        <item x="201"/>
        <item x="26"/>
        <item x="234"/>
        <item x="348"/>
        <item x="47"/>
        <item x="343"/>
        <item x="183"/>
        <item x="28"/>
        <item x="112"/>
        <item x="204"/>
        <item x="300"/>
        <item x="272"/>
        <item x="58"/>
        <item x="133"/>
        <item x="121"/>
        <item x="141"/>
        <item x="198"/>
        <item x="321"/>
        <item x="97"/>
        <item x="225"/>
        <item x="335"/>
        <item x="222"/>
        <item x="95"/>
        <item x="299"/>
        <item x="60"/>
        <item x="38"/>
        <item x="296"/>
        <item x="279"/>
        <item x="140"/>
        <item x="289"/>
        <item x="144"/>
        <item x="18"/>
        <item x="340"/>
        <item x="308"/>
        <item x="261"/>
        <item x="149"/>
        <item x="283"/>
        <item x="322"/>
        <item x="162"/>
        <item x="215"/>
        <item x="94"/>
        <item x="68"/>
        <item x="266"/>
        <item x="64"/>
        <item x="247"/>
        <item x="77"/>
        <item x="336"/>
        <item x="210"/>
        <item x="324"/>
        <item x="130"/>
        <item x="342"/>
        <item x="227"/>
        <item x="108"/>
        <item x="89"/>
        <item x="169"/>
        <item x="294"/>
        <item x="309"/>
        <item x="65"/>
        <item x="84"/>
        <item x="274"/>
        <item x="268"/>
        <item x="34"/>
        <item x="73"/>
        <item x="241"/>
        <item x="10"/>
        <item x="218"/>
        <item x="320"/>
        <item x="185"/>
        <item x="155"/>
        <item x="75"/>
        <item x="5"/>
        <item x="181"/>
        <item x="302"/>
        <item x="286"/>
        <item x="152"/>
        <item x="124"/>
        <item x="196"/>
        <item x="203"/>
        <item x="314"/>
        <item x="61"/>
        <item x="297"/>
        <item x="220"/>
        <item x="105"/>
        <item x="180"/>
        <item x="292"/>
        <item x="2"/>
        <item x="244"/>
        <item x="337"/>
        <item x="313"/>
        <item x="0"/>
        <item x="280"/>
        <item x="328"/>
        <item x="123"/>
        <item x="166"/>
        <item x="303"/>
        <item x="129"/>
        <item x="148"/>
        <item x="315"/>
        <item x="243"/>
        <item x="228"/>
        <item x="331"/>
        <item x="282"/>
        <item x="41"/>
        <item x="16"/>
        <item x="25"/>
        <item x="33"/>
        <item x="136"/>
        <item t="default"/>
      </items>
    </pivotField>
    <pivotField compact="0" showAll="0">
      <items count="501">
        <item x="135"/>
        <item x="49"/>
        <item x="9"/>
        <item x="229"/>
        <item x="96"/>
        <item x="125"/>
        <item x="253"/>
        <item x="331"/>
        <item x="1"/>
        <item x="394"/>
        <item x="14"/>
        <item x="190"/>
        <item x="242"/>
        <item x="69"/>
        <item x="13"/>
        <item x="22"/>
        <item x="321"/>
        <item x="360"/>
        <item x="418"/>
        <item x="153"/>
        <item x="430"/>
        <item x="183"/>
        <item x="361"/>
        <item x="366"/>
        <item x="416"/>
        <item x="283"/>
        <item x="272"/>
        <item x="156"/>
        <item x="179"/>
        <item x="93"/>
        <item x="270"/>
        <item x="269"/>
        <item x="144"/>
        <item x="476"/>
        <item x="437"/>
        <item x="312"/>
        <item x="87"/>
        <item x="420"/>
        <item x="188"/>
        <item x="436"/>
        <item x="157"/>
        <item x="291"/>
        <item x="336"/>
        <item x="284"/>
        <item x="318"/>
        <item x="94"/>
        <item x="24"/>
        <item x="42"/>
        <item x="224"/>
        <item x="448"/>
        <item x="37"/>
        <item x="91"/>
        <item x="286"/>
        <item x="303"/>
        <item x="463"/>
        <item x="35"/>
        <item x="376"/>
        <item x="257"/>
        <item x="497"/>
        <item x="110"/>
        <item x="185"/>
        <item x="349"/>
        <item x="396"/>
        <item x="166"/>
        <item x="409"/>
        <item x="450"/>
        <item x="54"/>
        <item x="99"/>
        <item x="220"/>
        <item x="169"/>
        <item x="208"/>
        <item x="84"/>
        <item x="481"/>
        <item x="71"/>
        <item x="466"/>
        <item x="19"/>
        <item x="122"/>
        <item x="139"/>
        <item x="246"/>
        <item x="168"/>
        <item x="460"/>
        <item x="146"/>
        <item x="212"/>
        <item x="458"/>
        <item x="374"/>
        <item x="296"/>
        <item x="68"/>
        <item x="417"/>
        <item x="354"/>
        <item x="180"/>
        <item x="165"/>
        <item x="325"/>
        <item x="452"/>
        <item x="415"/>
        <item x="342"/>
        <item x="478"/>
        <item x="444"/>
        <item x="310"/>
        <item x="351"/>
        <item x="151"/>
        <item x="455"/>
        <item x="287"/>
        <item x="282"/>
        <item x="44"/>
        <item x="206"/>
        <item x="480"/>
        <item x="249"/>
        <item x="27"/>
        <item x="161"/>
        <item x="203"/>
        <item x="147"/>
        <item x="85"/>
        <item x="462"/>
        <item x="494"/>
        <item x="132"/>
        <item x="150"/>
        <item x="273"/>
        <item x="117"/>
        <item x="240"/>
        <item x="260"/>
        <item x="333"/>
        <item x="15"/>
        <item x="53"/>
        <item x="12"/>
        <item x="187"/>
        <item x="189"/>
        <item x="232"/>
        <item x="158"/>
        <item x="400"/>
        <item x="196"/>
        <item x="243"/>
        <item x="123"/>
        <item x="89"/>
        <item x="77"/>
        <item x="43"/>
        <item x="126"/>
        <item x="175"/>
        <item x="492"/>
        <item x="192"/>
        <item x="52"/>
        <item x="289"/>
        <item x="40"/>
        <item x="227"/>
        <item x="314"/>
        <item x="228"/>
        <item x="365"/>
        <item x="344"/>
        <item x="237"/>
        <item x="446"/>
        <item x="370"/>
        <item x="429"/>
        <item x="116"/>
        <item x="36"/>
        <item x="301"/>
        <item x="194"/>
        <item x="216"/>
        <item x="172"/>
        <item x="364"/>
        <item x="128"/>
        <item x="182"/>
        <item x="226"/>
        <item x="353"/>
        <item x="214"/>
        <item x="414"/>
        <item x="207"/>
        <item x="233"/>
        <item x="356"/>
        <item x="322"/>
        <item x="359"/>
        <item x="11"/>
        <item x="261"/>
        <item x="234"/>
        <item x="343"/>
        <item x="426"/>
        <item x="23"/>
        <item x="79"/>
        <item x="281"/>
        <item x="464"/>
        <item x="222"/>
        <item x="64"/>
        <item x="338"/>
        <item x="145"/>
        <item x="181"/>
        <item x="111"/>
        <item x="51"/>
        <item x="346"/>
        <item x="305"/>
        <item x="186"/>
        <item x="469"/>
        <item x="184"/>
        <item x="358"/>
        <item x="114"/>
        <item x="410"/>
        <item x="215"/>
        <item x="316"/>
        <item x="213"/>
        <item x="290"/>
        <item x="61"/>
        <item x="47"/>
        <item x="59"/>
        <item x="459"/>
        <item x="285"/>
        <item x="219"/>
        <item x="323"/>
        <item x="80"/>
        <item x="50"/>
        <item x="439"/>
        <item x="295"/>
        <item x="55"/>
        <item x="371"/>
        <item x="324"/>
        <item x="262"/>
        <item x="427"/>
        <item x="225"/>
        <item x="389"/>
        <item x="276"/>
        <item x="461"/>
        <item x="347"/>
        <item x="393"/>
        <item x="197"/>
        <item x="8"/>
        <item x="428"/>
        <item x="292"/>
        <item x="441"/>
        <item x="254"/>
        <item x="130"/>
        <item x="375"/>
        <item x="201"/>
        <item x="39"/>
        <item x="337"/>
        <item x="320"/>
        <item x="275"/>
        <item x="484"/>
        <item x="293"/>
        <item x="7"/>
        <item x="202"/>
        <item x="200"/>
        <item x="482"/>
        <item x="231"/>
        <item x="385"/>
        <item x="6"/>
        <item x="167"/>
        <item x="369"/>
        <item x="327"/>
        <item x="363"/>
        <item x="348"/>
        <item x="297"/>
        <item x="335"/>
        <item x="496"/>
        <item x="209"/>
        <item x="32"/>
        <item x="308"/>
        <item x="404"/>
        <item x="473"/>
        <item x="30"/>
        <item x="255"/>
        <item x="449"/>
        <item x="133"/>
        <item x="355"/>
        <item x="294"/>
        <item x="100"/>
        <item x="339"/>
        <item x="195"/>
        <item x="251"/>
        <item x="137"/>
        <item x="105"/>
        <item x="131"/>
        <item x="75"/>
        <item x="88"/>
        <item x="143"/>
        <item x="57"/>
        <item x="163"/>
        <item x="453"/>
        <item x="298"/>
        <item x="387"/>
        <item x="411"/>
        <item x="4"/>
        <item x="244"/>
        <item x="107"/>
        <item x="21"/>
        <item x="29"/>
        <item x="315"/>
        <item x="134"/>
        <item x="328"/>
        <item x="173"/>
        <item x="313"/>
        <item x="124"/>
        <item x="129"/>
        <item x="258"/>
        <item x="457"/>
        <item x="73"/>
        <item x="152"/>
        <item x="319"/>
        <item x="493"/>
        <item x="65"/>
        <item x="334"/>
        <item x="422"/>
        <item x="205"/>
        <item x="288"/>
        <item x="488"/>
        <item x="403"/>
        <item x="108"/>
        <item x="495"/>
        <item x="20"/>
        <item x="221"/>
        <item x="399"/>
        <item x="70"/>
        <item x="121"/>
        <item x="104"/>
        <item x="300"/>
        <item x="109"/>
        <item x="103"/>
        <item x="176"/>
        <item x="113"/>
        <item x="171"/>
        <item x="309"/>
        <item x="390"/>
        <item x="101"/>
        <item x="211"/>
        <item x="264"/>
        <item x="95"/>
        <item x="431"/>
        <item x="112"/>
        <item x="499"/>
        <item x="267"/>
        <item x="31"/>
        <item x="398"/>
        <item x="74"/>
        <item x="326"/>
        <item x="142"/>
        <item x="401"/>
        <item x="490"/>
        <item x="440"/>
        <item x="76"/>
        <item x="18"/>
        <item x="277"/>
        <item x="263"/>
        <item x="432"/>
        <item x="230"/>
        <item x="405"/>
        <item x="239"/>
        <item x="46"/>
        <item x="259"/>
        <item x="198"/>
        <item x="395"/>
        <item x="265"/>
        <item x="489"/>
        <item x="118"/>
        <item x="236"/>
        <item x="434"/>
        <item x="479"/>
        <item x="306"/>
        <item x="477"/>
        <item x="149"/>
        <item x="120"/>
        <item x="138"/>
        <item x="278"/>
        <item x="58"/>
        <item x="357"/>
        <item x="256"/>
        <item x="136"/>
        <item x="465"/>
        <item x="472"/>
        <item x="162"/>
        <item x="17"/>
        <item x="210"/>
        <item x="86"/>
        <item x="3"/>
        <item x="178"/>
        <item x="56"/>
        <item x="408"/>
        <item x="447"/>
        <item x="266"/>
        <item x="92"/>
        <item x="304"/>
        <item x="248"/>
        <item x="317"/>
        <item x="332"/>
        <item x="491"/>
        <item x="419"/>
        <item x="10"/>
        <item x="340"/>
        <item x="470"/>
        <item x="330"/>
        <item x="468"/>
        <item x="350"/>
        <item x="299"/>
        <item x="485"/>
        <item x="380"/>
        <item x="98"/>
        <item x="352"/>
        <item x="119"/>
        <item x="252"/>
        <item x="160"/>
        <item x="378"/>
        <item x="311"/>
        <item x="235"/>
        <item x="45"/>
        <item x="48"/>
        <item x="474"/>
        <item x="425"/>
        <item x="362"/>
        <item x="379"/>
        <item x="487"/>
        <item x="106"/>
        <item x="115"/>
        <item x="386"/>
        <item x="164"/>
        <item x="274"/>
        <item x="383"/>
        <item x="83"/>
        <item x="382"/>
        <item x="329"/>
        <item x="28"/>
        <item x="62"/>
        <item x="407"/>
        <item x="159"/>
        <item x="97"/>
        <item x="245"/>
        <item x="391"/>
        <item x="82"/>
        <item x="127"/>
        <item x="486"/>
        <item x="154"/>
        <item x="341"/>
        <item x="78"/>
        <item x="26"/>
        <item x="438"/>
        <item x="397"/>
        <item x="377"/>
        <item x="421"/>
        <item x="199"/>
        <item x="498"/>
        <item x="483"/>
        <item x="402"/>
        <item x="218"/>
        <item x="191"/>
        <item x="435"/>
        <item x="140"/>
        <item x="241"/>
        <item x="60"/>
        <item x="72"/>
        <item x="443"/>
        <item x="66"/>
        <item x="38"/>
        <item x="454"/>
        <item x="279"/>
        <item x="442"/>
        <item x="467"/>
        <item x="102"/>
        <item x="381"/>
        <item x="367"/>
        <item x="471"/>
        <item x="177"/>
        <item x="5"/>
        <item x="412"/>
        <item x="373"/>
        <item x="280"/>
        <item x="247"/>
        <item x="193"/>
        <item x="141"/>
        <item x="413"/>
        <item x="302"/>
        <item x="25"/>
        <item x="388"/>
        <item x="345"/>
        <item x="204"/>
        <item x="368"/>
        <item x="271"/>
        <item x="250"/>
        <item x="90"/>
        <item x="372"/>
        <item x="67"/>
        <item x="34"/>
        <item x="384"/>
        <item x="2"/>
        <item x="223"/>
        <item x="268"/>
        <item x="433"/>
        <item x="424"/>
        <item x="174"/>
        <item x="392"/>
        <item x="238"/>
        <item x="81"/>
        <item x="217"/>
        <item x="423"/>
        <item x="63"/>
        <item x="445"/>
        <item x="0"/>
        <item x="41"/>
        <item x="307"/>
        <item x="451"/>
        <item x="475"/>
        <item x="406"/>
        <item x="170"/>
        <item x="148"/>
        <item x="33"/>
        <item x="456"/>
        <item x="16"/>
        <item x="155"/>
        <item t="default"/>
      </items>
    </pivotField>
    <pivotField compact="0" showAll="0">
      <items count="501">
        <item x="354"/>
        <item x="188"/>
        <item x="398"/>
        <item x="312"/>
        <item x="220"/>
        <item x="343"/>
        <item x="44"/>
        <item x="196"/>
        <item x="310"/>
        <item x="207"/>
        <item x="480"/>
        <item x="305"/>
        <item x="110"/>
        <item x="197"/>
        <item x="229"/>
        <item x="89"/>
        <item x="87"/>
        <item x="246"/>
        <item x="360"/>
        <item x="347"/>
        <item x="439"/>
        <item x="114"/>
        <item x="21"/>
        <item x="219"/>
        <item x="259"/>
        <item x="107"/>
        <item x="334"/>
        <item x="20"/>
        <item x="255"/>
        <item x="105"/>
        <item x="262"/>
        <item x="385"/>
        <item x="85"/>
        <item x="425"/>
        <item x="409"/>
        <item x="50"/>
        <item x="161"/>
        <item x="125"/>
        <item x="461"/>
        <item x="430"/>
        <item x="101"/>
        <item x="137"/>
        <item x="109"/>
        <item x="282"/>
        <item x="414"/>
        <item x="452"/>
        <item x="287"/>
        <item x="225"/>
        <item x="65"/>
        <item x="88"/>
        <item x="420"/>
        <item x="376"/>
        <item x="24"/>
        <item x="157"/>
        <item x="463"/>
        <item x="84"/>
        <item x="477"/>
        <item x="47"/>
        <item x="205"/>
        <item x="201"/>
        <item x="322"/>
        <item x="51"/>
        <item x="200"/>
        <item x="342"/>
        <item x="17"/>
        <item x="158"/>
        <item x="169"/>
        <item x="91"/>
        <item x="240"/>
        <item x="31"/>
        <item x="285"/>
        <item x="40"/>
        <item x="185"/>
        <item x="227"/>
        <item x="289"/>
        <item x="286"/>
        <item x="331"/>
        <item x="203"/>
        <item x="56"/>
        <item x="146"/>
        <item x="297"/>
        <item x="94"/>
        <item x="12"/>
        <item x="39"/>
        <item x="441"/>
        <item x="230"/>
        <item x="120"/>
        <item x="142"/>
        <item x="224"/>
        <item x="175"/>
        <item x="145"/>
        <item x="416"/>
        <item x="370"/>
        <item x="228"/>
        <item x="1"/>
        <item x="136"/>
        <item x="353"/>
        <item x="300"/>
        <item x="108"/>
        <item x="476"/>
        <item x="400"/>
        <item x="321"/>
        <item x="183"/>
        <item x="496"/>
        <item x="71"/>
        <item x="358"/>
        <item x="117"/>
        <item x="365"/>
        <item x="291"/>
        <item x="417"/>
        <item x="6"/>
        <item x="295"/>
        <item x="245"/>
        <item x="336"/>
        <item x="130"/>
        <item x="355"/>
        <item x="284"/>
        <item x="428"/>
        <item x="459"/>
        <item x="346"/>
        <item x="394"/>
        <item x="293"/>
        <item x="393"/>
        <item x="93"/>
        <item x="59"/>
        <item x="162"/>
        <item x="209"/>
        <item x="164"/>
        <item x="281"/>
        <item x="180"/>
        <item x="126"/>
        <item x="251"/>
        <item x="143"/>
        <item x="434"/>
        <item x="325"/>
        <item x="380"/>
        <item x="478"/>
        <item x="396"/>
        <item x="318"/>
        <item x="26"/>
        <item x="104"/>
        <item x="113"/>
        <item x="446"/>
        <item x="390"/>
        <item x="189"/>
        <item x="198"/>
        <item x="366"/>
        <item x="211"/>
        <item x="395"/>
        <item x="75"/>
        <item x="77"/>
        <item x="60"/>
        <item x="333"/>
        <item x="54"/>
        <item x="344"/>
        <item x="257"/>
        <item x="181"/>
        <item x="491"/>
        <item x="58"/>
        <item x="214"/>
        <item x="70"/>
        <item x="269"/>
        <item x="192"/>
        <item x="53"/>
        <item x="270"/>
        <item x="481"/>
        <item x="241"/>
        <item x="440"/>
        <item x="272"/>
        <item x="455"/>
        <item x="15"/>
        <item x="256"/>
        <item x="36"/>
        <item x="327"/>
        <item x="69"/>
        <item x="467"/>
        <item x="98"/>
        <item x="341"/>
        <item x="147"/>
        <item x="447"/>
        <item x="495"/>
        <item x="61"/>
        <item x="237"/>
        <item x="484"/>
        <item x="111"/>
        <item x="483"/>
        <item x="361"/>
        <item x="79"/>
        <item x="73"/>
        <item x="273"/>
        <item x="304"/>
        <item x="261"/>
        <item x="369"/>
        <item x="13"/>
        <item x="159"/>
        <item x="222"/>
        <item x="122"/>
        <item x="247"/>
        <item x="165"/>
        <item x="438"/>
        <item x="359"/>
        <item x="172"/>
        <item x="275"/>
        <item x="64"/>
        <item x="102"/>
        <item x="466"/>
        <item x="202"/>
        <item x="299"/>
        <item x="381"/>
        <item x="216"/>
        <item x="135"/>
        <item x="301"/>
        <item x="153"/>
        <item x="62"/>
        <item x="497"/>
        <item x="173"/>
        <item x="462"/>
        <item x="156"/>
        <item x="413"/>
        <item x="14"/>
        <item x="46"/>
        <item x="306"/>
        <item x="67"/>
        <item x="123"/>
        <item x="9"/>
        <item x="99"/>
        <item x="427"/>
        <item x="432"/>
        <item x="119"/>
        <item x="335"/>
        <item x="263"/>
        <item x="363"/>
        <item x="410"/>
        <item x="265"/>
        <item x="168"/>
        <item x="254"/>
        <item x="55"/>
        <item x="249"/>
        <item x="464"/>
        <item x="194"/>
        <item x="242"/>
        <item x="492"/>
        <item x="82"/>
        <item x="139"/>
        <item x="431"/>
        <item x="328"/>
        <item x="422"/>
        <item x="326"/>
        <item x="437"/>
        <item x="453"/>
        <item x="190"/>
        <item x="404"/>
        <item x="176"/>
        <item x="383"/>
        <item x="364"/>
        <item x="106"/>
        <item x="81"/>
        <item x="140"/>
        <item x="195"/>
        <item x="239"/>
        <item x="210"/>
        <item x="268"/>
        <item x="138"/>
        <item x="29"/>
        <item x="423"/>
        <item x="166"/>
        <item x="367"/>
        <item x="208"/>
        <item x="319"/>
        <item x="103"/>
        <item x="485"/>
        <item x="373"/>
        <item x="116"/>
        <item x="401"/>
        <item x="186"/>
        <item x="74"/>
        <item x="494"/>
        <item x="375"/>
        <item x="252"/>
        <item x="100"/>
        <item x="403"/>
        <item x="444"/>
        <item x="267"/>
        <item x="387"/>
        <item x="469"/>
        <item x="418"/>
        <item x="178"/>
        <item x="348"/>
        <item x="337"/>
        <item x="382"/>
        <item x="43"/>
        <item x="405"/>
        <item x="388"/>
        <item x="187"/>
        <item x="243"/>
        <item x="435"/>
        <item x="415"/>
        <item x="215"/>
        <item x="307"/>
        <item x="313"/>
        <item x="154"/>
        <item x="450"/>
        <item x="22"/>
        <item x="129"/>
        <item x="474"/>
        <item x="266"/>
        <item x="244"/>
        <item x="264"/>
        <item x="97"/>
        <item x="470"/>
        <item x="384"/>
        <item x="408"/>
        <item x="163"/>
        <item x="204"/>
        <item x="303"/>
        <item x="42"/>
        <item x="217"/>
        <item x="23"/>
        <item x="18"/>
        <item x="218"/>
        <item x="274"/>
        <item x="442"/>
        <item x="489"/>
        <item x="308"/>
        <item x="95"/>
        <item x="171"/>
        <item x="426"/>
        <item x="457"/>
        <item x="19"/>
        <item x="402"/>
        <item x="379"/>
        <item x="150"/>
        <item x="76"/>
        <item x="72"/>
        <item x="349"/>
        <item x="184"/>
        <item x="356"/>
        <item x="253"/>
        <item x="458"/>
        <item x="177"/>
        <item x="144"/>
        <item x="352"/>
        <item x="377"/>
        <item x="179"/>
        <item x="371"/>
        <item x="167"/>
        <item x="499"/>
        <item x="27"/>
        <item x="182"/>
        <item x="399"/>
        <item x="449"/>
        <item x="451"/>
        <item x="131"/>
        <item x="339"/>
        <item x="278"/>
        <item x="486"/>
        <item x="374"/>
        <item x="57"/>
        <item x="460"/>
        <item x="294"/>
        <item x="260"/>
        <item x="473"/>
        <item x="258"/>
        <item x="221"/>
        <item x="324"/>
        <item x="392"/>
        <item x="315"/>
        <item x="8"/>
        <item x="52"/>
        <item x="118"/>
        <item x="238"/>
        <item x="11"/>
        <item x="362"/>
        <item x="5"/>
        <item x="151"/>
        <item x="223"/>
        <item x="406"/>
        <item x="330"/>
        <item x="351"/>
        <item x="121"/>
        <item x="25"/>
        <item x="191"/>
        <item x="45"/>
        <item x="482"/>
        <item x="345"/>
        <item x="411"/>
        <item x="277"/>
        <item x="309"/>
        <item x="63"/>
        <item x="250"/>
        <item x="32"/>
        <item x="3"/>
        <item x="35"/>
        <item x="30"/>
        <item x="487"/>
        <item x="33"/>
        <item x="424"/>
        <item x="68"/>
        <item x="193"/>
        <item x="78"/>
        <item x="280"/>
        <item x="206"/>
        <item x="407"/>
        <item x="213"/>
        <item x="155"/>
        <item x="468"/>
        <item x="471"/>
        <item x="276"/>
        <item x="368"/>
        <item x="38"/>
        <item x="419"/>
        <item x="311"/>
        <item x="231"/>
        <item x="124"/>
        <item x="329"/>
        <item x="292"/>
        <item x="475"/>
        <item x="83"/>
        <item x="248"/>
        <item x="133"/>
        <item x="412"/>
        <item x="271"/>
        <item x="350"/>
        <item x="298"/>
        <item x="112"/>
        <item x="378"/>
        <item x="288"/>
        <item x="332"/>
        <item x="302"/>
        <item x="86"/>
        <item x="290"/>
        <item x="212"/>
        <item x="7"/>
        <item x="92"/>
        <item x="323"/>
        <item x="465"/>
        <item x="148"/>
        <item x="436"/>
        <item x="316"/>
        <item x="199"/>
        <item x="320"/>
        <item x="115"/>
        <item x="397"/>
        <item x="37"/>
        <item x="28"/>
        <item x="127"/>
        <item x="141"/>
        <item x="433"/>
        <item x="152"/>
        <item x="456"/>
        <item x="493"/>
        <item x="66"/>
        <item x="226"/>
        <item x="490"/>
        <item x="0"/>
        <item x="80"/>
        <item x="472"/>
        <item x="283"/>
        <item x="174"/>
        <item x="49"/>
        <item x="4"/>
        <item x="498"/>
        <item x="448"/>
        <item x="488"/>
        <item x="34"/>
        <item x="134"/>
        <item x="429"/>
        <item x="389"/>
        <item x="317"/>
        <item x="96"/>
        <item x="232"/>
        <item x="279"/>
        <item x="2"/>
        <item x="170"/>
        <item x="235"/>
        <item x="372"/>
        <item x="233"/>
        <item x="149"/>
        <item x="236"/>
        <item x="90"/>
        <item x="357"/>
        <item x="340"/>
        <item x="128"/>
        <item x="296"/>
        <item x="234"/>
        <item x="443"/>
        <item x="454"/>
        <item x="479"/>
        <item x="16"/>
        <item x="391"/>
        <item x="314"/>
        <item x="338"/>
        <item x="421"/>
        <item x="160"/>
        <item x="41"/>
        <item x="132"/>
        <item x="445"/>
        <item x="48"/>
        <item x="386"/>
        <item x="10"/>
        <item t="default"/>
      </items>
    </pivotField>
    <pivotField compact="0" showAll="0">
      <items count="501">
        <item x="41"/>
        <item x="33"/>
        <item x="456"/>
        <item x="315"/>
        <item x="280"/>
        <item x="199"/>
        <item x="221"/>
        <item x="250"/>
        <item x="231"/>
        <item x="124"/>
        <item x="223"/>
        <item x="387"/>
        <item x="391"/>
        <item x="320"/>
        <item x="118"/>
        <item x="411"/>
        <item x="372"/>
        <item x="153"/>
        <item x="10"/>
        <item x="129"/>
        <item x="16"/>
        <item x="155"/>
        <item x="296"/>
        <item x="311"/>
        <item x="2"/>
        <item x="67"/>
        <item x="100"/>
        <item x="193"/>
        <item x="349"/>
        <item x="63"/>
        <item x="445"/>
        <item x="373"/>
        <item x="274"/>
        <item x="187"/>
        <item x="19"/>
        <item x="95"/>
        <item x="34"/>
        <item x="467"/>
        <item x="170"/>
        <item x="397"/>
        <item x="5"/>
        <item x="134"/>
        <item x="173"/>
        <item x="323"/>
        <item x="421"/>
        <item x="470"/>
        <item x="436"/>
        <item x="486"/>
        <item x="182"/>
        <item x="433"/>
        <item x="97"/>
        <item x="479"/>
        <item x="115"/>
        <item x="72"/>
        <item x="429"/>
        <item x="419"/>
        <item x="162"/>
        <item x="478"/>
        <item x="432"/>
        <item x="4"/>
        <item x="406"/>
        <item x="37"/>
        <item x="493"/>
        <item x="106"/>
        <item x="460"/>
        <item x="22"/>
        <item x="434"/>
        <item x="444"/>
        <item x="443"/>
        <item x="379"/>
        <item x="345"/>
        <item x="152"/>
        <item x="472"/>
        <item x="455"/>
        <item x="423"/>
        <item x="35"/>
        <item x="309"/>
        <item x="357"/>
        <item x="57"/>
        <item x="116"/>
        <item x="392"/>
        <item x="238"/>
        <item x="448"/>
        <item x="78"/>
        <item x="103"/>
        <item x="111"/>
        <item x="261"/>
        <item x="202"/>
        <item x="290"/>
        <item x="268"/>
        <item x="149"/>
        <item x="214"/>
        <item x="471"/>
        <item x="489"/>
        <item x="350"/>
        <item x="475"/>
        <item x="404"/>
        <item x="179"/>
        <item x="176"/>
        <item x="195"/>
        <item x="302"/>
        <item x="413"/>
        <item x="218"/>
        <item x="81"/>
        <item x="300"/>
        <item x="79"/>
        <item x="293"/>
        <item x="363"/>
        <item x="499"/>
        <item x="45"/>
        <item x="424"/>
        <item x="164"/>
        <item x="377"/>
        <item x="388"/>
        <item x="474"/>
        <item x="0"/>
        <item x="25"/>
        <item x="217"/>
        <item x="442"/>
        <item x="307"/>
        <item x="156"/>
        <item x="141"/>
        <item x="324"/>
        <item x="408"/>
        <item x="292"/>
        <item x="279"/>
        <item x="458"/>
        <item x="151"/>
        <item x="344"/>
        <item x="247"/>
        <item x="222"/>
        <item x="132"/>
        <item x="258"/>
        <item x="277"/>
        <item x="27"/>
        <item x="352"/>
        <item x="446"/>
        <item x="74"/>
        <item x="80"/>
        <item x="303"/>
        <item x="98"/>
        <item x="339"/>
        <item x="294"/>
        <item x="402"/>
        <item x="9"/>
        <item x="7"/>
        <item x="288"/>
        <item x="46"/>
        <item x="378"/>
        <item x="381"/>
        <item x="28"/>
        <item x="160"/>
        <item x="56"/>
        <item x="256"/>
        <item x="138"/>
        <item x="102"/>
        <item x="148"/>
        <item x="248"/>
        <item x="374"/>
        <item x="356"/>
        <item x="291"/>
        <item x="48"/>
        <item x="127"/>
        <item x="451"/>
        <item x="487"/>
        <item x="30"/>
        <item x="384"/>
        <item x="457"/>
        <item x="86"/>
        <item x="449"/>
        <item x="407"/>
        <item x="298"/>
        <item x="69"/>
        <item x="184"/>
        <item x="104"/>
        <item x="92"/>
        <item x="234"/>
        <item x="232"/>
        <item x="131"/>
        <item x="425"/>
        <item x="330"/>
        <item x="299"/>
        <item x="491"/>
        <item x="60"/>
        <item x="317"/>
        <item x="68"/>
        <item x="210"/>
        <item x="329"/>
        <item x="264"/>
        <item x="140"/>
        <item x="90"/>
        <item x="364"/>
        <item x="301"/>
        <item x="236"/>
        <item x="431"/>
        <item x="26"/>
        <item x="254"/>
        <item x="42"/>
        <item x="174"/>
        <item x="208"/>
        <item x="123"/>
        <item x="251"/>
        <item x="368"/>
        <item x="204"/>
        <item x="66"/>
        <item x="82"/>
        <item x="332"/>
        <item x="267"/>
        <item x="112"/>
        <item x="304"/>
        <item x="389"/>
        <item x="314"/>
        <item x="308"/>
        <item x="13"/>
        <item x="14"/>
        <item x="319"/>
        <item x="497"/>
        <item x="266"/>
        <item x="468"/>
        <item x="172"/>
        <item x="465"/>
        <item x="295"/>
        <item x="3"/>
        <item x="113"/>
        <item x="412"/>
        <item x="209"/>
        <item x="94"/>
        <item x="450"/>
        <item x="399"/>
        <item x="383"/>
        <item x="488"/>
        <item x="249"/>
        <item x="405"/>
        <item x="438"/>
        <item x="43"/>
        <item x="283"/>
        <item x="49"/>
        <item x="96"/>
        <item x="271"/>
        <item x="206"/>
        <item x="185"/>
        <item x="275"/>
        <item x="426"/>
        <item x="135"/>
        <item x="18"/>
        <item x="171"/>
        <item x="435"/>
        <item x="340"/>
        <item x="496"/>
        <item x="24"/>
        <item x="463"/>
        <item x="415"/>
        <item x="359"/>
        <item x="200"/>
        <item x="243"/>
        <item x="375"/>
        <item x="428"/>
        <item x="466"/>
        <item x="58"/>
        <item x="326"/>
        <item x="355"/>
        <item x="213"/>
        <item x="242"/>
        <item x="325"/>
        <item x="190"/>
        <item x="226"/>
        <item x="418"/>
        <item x="483"/>
        <item x="133"/>
        <item x="114"/>
        <item x="382"/>
        <item x="36"/>
        <item x="143"/>
        <item x="440"/>
        <item x="233"/>
        <item x="168"/>
        <item x="252"/>
        <item x="333"/>
        <item x="23"/>
        <item x="38"/>
        <item x="32"/>
        <item x="128"/>
        <item x="230"/>
        <item x="464"/>
        <item x="477"/>
        <item x="351"/>
        <item x="201"/>
        <item x="119"/>
        <item x="278"/>
        <item x="165"/>
        <item x="265"/>
        <item x="241"/>
        <item x="454"/>
        <item x="83"/>
        <item x="211"/>
        <item x="70"/>
        <item x="224"/>
        <item x="65"/>
        <item x="62"/>
        <item x="498"/>
        <item x="120"/>
        <item x="177"/>
        <item x="192"/>
        <item x="144"/>
        <item x="341"/>
        <item x="494"/>
        <item x="235"/>
        <item x="331"/>
        <item x="335"/>
        <item x="380"/>
        <item x="207"/>
        <item x="212"/>
        <item x="194"/>
        <item x="490"/>
        <item x="159"/>
        <item x="196"/>
        <item x="44"/>
        <item x="376"/>
        <item x="410"/>
        <item x="130"/>
        <item x="441"/>
        <item x="481"/>
        <item x="398"/>
        <item x="122"/>
        <item x="191"/>
        <item x="338"/>
        <item x="75"/>
        <item x="276"/>
        <item x="52"/>
        <item x="59"/>
        <item x="142"/>
        <item x="260"/>
        <item x="237"/>
        <item x="365"/>
        <item x="367"/>
        <item x="337"/>
        <item x="453"/>
        <item x="422"/>
        <item x="312"/>
        <item x="166"/>
        <item x="306"/>
        <item x="386"/>
        <item x="136"/>
        <item x="327"/>
        <item x="253"/>
        <item x="390"/>
        <item x="21"/>
        <item x="395"/>
        <item x="109"/>
        <item x="346"/>
        <item x="51"/>
        <item x="257"/>
        <item x="394"/>
        <item x="77"/>
        <item x="447"/>
        <item x="427"/>
        <item x="362"/>
        <item x="400"/>
        <item x="285"/>
        <item x="316"/>
        <item x="476"/>
        <item x="147"/>
        <item x="198"/>
        <item x="53"/>
        <item x="270"/>
        <item x="178"/>
        <item x="461"/>
        <item x="8"/>
        <item x="167"/>
        <item x="287"/>
        <item x="31"/>
        <item x="318"/>
        <item x="227"/>
        <item x="154"/>
        <item x="401"/>
        <item x="139"/>
        <item x="403"/>
        <item x="99"/>
        <item x="371"/>
        <item x="146"/>
        <item x="125"/>
        <item x="47"/>
        <item x="101"/>
        <item x="439"/>
        <item x="369"/>
        <item x="54"/>
        <item x="495"/>
        <item x="282"/>
        <item x="244"/>
        <item x="245"/>
        <item x="321"/>
        <item x="262"/>
        <item x="183"/>
        <item x="229"/>
        <item x="281"/>
        <item x="40"/>
        <item x="20"/>
        <item x="205"/>
        <item x="240"/>
        <item x="328"/>
        <item x="239"/>
        <item x="73"/>
        <item x="273"/>
        <item x="121"/>
        <item x="417"/>
        <item x="55"/>
        <item x="17"/>
        <item x="29"/>
        <item x="105"/>
        <item x="336"/>
        <item x="71"/>
        <item x="485"/>
        <item x="469"/>
        <item x="484"/>
        <item x="462"/>
        <item x="347"/>
        <item x="396"/>
        <item x="360"/>
        <item x="473"/>
        <item x="313"/>
        <item x="482"/>
        <item x="310"/>
        <item x="409"/>
        <item x="259"/>
        <item x="263"/>
        <item x="12"/>
        <item x="39"/>
        <item x="370"/>
        <item x="430"/>
        <item x="297"/>
        <item x="414"/>
        <item x="108"/>
        <item x="110"/>
        <item x="203"/>
        <item x="150"/>
        <item x="107"/>
        <item x="6"/>
        <item x="220"/>
        <item x="284"/>
        <item x="437"/>
        <item x="289"/>
        <item x="50"/>
        <item x="348"/>
        <item x="393"/>
        <item x="197"/>
        <item x="61"/>
        <item x="219"/>
        <item x="85"/>
        <item x="88"/>
        <item x="76"/>
        <item x="93"/>
        <item x="358"/>
        <item x="186"/>
        <item x="188"/>
        <item x="145"/>
        <item x="163"/>
        <item x="305"/>
        <item x="64"/>
        <item x="11"/>
        <item x="334"/>
        <item x="361"/>
        <item x="246"/>
        <item x="161"/>
        <item x="420"/>
        <item x="157"/>
        <item x="175"/>
        <item x="87"/>
        <item x="15"/>
        <item x="215"/>
        <item x="385"/>
        <item x="89"/>
        <item x="255"/>
        <item x="216"/>
        <item x="366"/>
        <item x="286"/>
        <item x="1"/>
        <item x="272"/>
        <item x="459"/>
        <item x="158"/>
        <item x="228"/>
        <item x="189"/>
        <item x="492"/>
        <item x="181"/>
        <item x="137"/>
        <item x="126"/>
        <item x="225"/>
        <item x="342"/>
        <item x="84"/>
        <item x="343"/>
        <item x="322"/>
        <item x="180"/>
        <item x="452"/>
        <item x="91"/>
        <item x="480"/>
        <item x="353"/>
        <item x="117"/>
        <item x="354"/>
        <item x="416"/>
        <item x="269"/>
        <item x="169"/>
        <item t="default"/>
      </items>
    </pivotField>
    <pivotField compact="0" showAll="0">
      <items count="501">
        <item x="33"/>
        <item x="41"/>
        <item x="280"/>
        <item x="456"/>
        <item x="372"/>
        <item x="199"/>
        <item x="155"/>
        <item x="2"/>
        <item x="67"/>
        <item x="63"/>
        <item x="16"/>
        <item x="5"/>
        <item x="421"/>
        <item x="250"/>
        <item x="97"/>
        <item x="118"/>
        <item x="357"/>
        <item x="467"/>
        <item x="223"/>
        <item x="471"/>
        <item x="152"/>
        <item x="81"/>
        <item x="78"/>
        <item x="423"/>
        <item x="25"/>
        <item x="472"/>
        <item x="0"/>
        <item x="470"/>
        <item x="218"/>
        <item x="247"/>
        <item x="170"/>
        <item x="388"/>
        <item x="445"/>
        <item x="406"/>
        <item x="424"/>
        <item x="141"/>
        <item x="377"/>
        <item x="413"/>
        <item x="34"/>
        <item x="486"/>
        <item x="106"/>
        <item x="442"/>
        <item x="373"/>
        <item x="238"/>
        <item x="307"/>
        <item x="74"/>
        <item x="302"/>
        <item x="217"/>
        <item x="164"/>
        <item x="300"/>
        <item x="193"/>
        <item x="474"/>
        <item x="124"/>
        <item x="451"/>
        <item x="115"/>
        <item x="221"/>
        <item x="268"/>
        <item x="57"/>
        <item x="392"/>
        <item x="475"/>
        <item x="279"/>
        <item x="10"/>
        <item x="391"/>
        <item x="103"/>
        <item x="433"/>
        <item x="56"/>
        <item x="384"/>
        <item x="48"/>
        <item x="368"/>
        <item x="140"/>
        <item x="425"/>
        <item x="72"/>
        <item x="256"/>
        <item x="95"/>
        <item x="148"/>
        <item x="60"/>
        <item x="274"/>
        <item x="407"/>
        <item x="402"/>
        <item x="311"/>
        <item x="204"/>
        <item x="98"/>
        <item x="162"/>
        <item x="28"/>
        <item x="345"/>
        <item x="434"/>
        <item x="113"/>
        <item x="102"/>
        <item x="195"/>
        <item x="111"/>
        <item x="411"/>
        <item x="26"/>
        <item x="277"/>
        <item x="299"/>
        <item x="248"/>
        <item x="432"/>
        <item x="438"/>
        <item x="264"/>
        <item x="381"/>
        <item x="443"/>
        <item x="319"/>
        <item x="123"/>
        <item x="271"/>
        <item x="200"/>
        <item x="405"/>
        <item x="397"/>
        <item x="45"/>
        <item x="149"/>
        <item x="315"/>
        <item x="329"/>
        <item x="173"/>
        <item x="267"/>
        <item x="288"/>
        <item x="320"/>
        <item x="454"/>
        <item x="419"/>
        <item x="79"/>
        <item x="408"/>
        <item x="294"/>
        <item x="379"/>
        <item x="100"/>
        <item x="498"/>
        <item x="171"/>
        <item x="83"/>
        <item x="174"/>
        <item x="483"/>
        <item x="104"/>
        <item x="90"/>
        <item x="201"/>
        <item x="230"/>
        <item x="254"/>
        <item x="491"/>
        <item x="159"/>
        <item x="176"/>
        <item x="120"/>
        <item x="487"/>
        <item x="7"/>
        <item x="18"/>
        <item x="493"/>
        <item x="446"/>
        <item x="398"/>
        <item x="138"/>
        <item x="38"/>
        <item x="143"/>
        <item x="440"/>
        <item x="449"/>
        <item x="177"/>
        <item x="160"/>
        <item x="32"/>
        <item x="457"/>
        <item x="412"/>
        <item x="330"/>
        <item x="86"/>
        <item x="326"/>
        <item x="344"/>
        <item x="387"/>
        <item x="428"/>
        <item x="236"/>
        <item x="62"/>
        <item x="187"/>
        <item x="211"/>
        <item x="309"/>
        <item x="465"/>
        <item x="196"/>
        <item x="109"/>
        <item x="214"/>
        <item x="66"/>
        <item x="308"/>
        <item x="142"/>
        <item x="241"/>
        <item x="136"/>
        <item x="82"/>
        <item x="295"/>
        <item x="352"/>
        <item x="234"/>
        <item x="222"/>
        <item x="395"/>
        <item x="304"/>
        <item x="365"/>
        <item x="191"/>
        <item x="496"/>
        <item x="119"/>
        <item x="401"/>
        <item x="346"/>
        <item x="362"/>
        <item x="339"/>
        <item x="285"/>
        <item x="378"/>
        <item x="429"/>
        <item x="386"/>
        <item x="431"/>
        <item x="21"/>
        <item x="75"/>
        <item x="341"/>
        <item x="202"/>
        <item x="477"/>
        <item x="127"/>
        <item x="435"/>
        <item x="58"/>
        <item x="231"/>
        <item x="355"/>
        <item x="495"/>
        <item x="129"/>
        <item x="114"/>
        <item x="447"/>
        <item x="422"/>
        <item x="245"/>
        <item x="258"/>
        <item x="367"/>
        <item x="327"/>
        <item x="30"/>
        <item x="36"/>
        <item x="47"/>
        <item x="464"/>
        <item x="154"/>
        <item x="461"/>
        <item x="380"/>
        <item x="205"/>
        <item x="298"/>
        <item x="252"/>
        <item x="441"/>
        <item x="213"/>
        <item x="121"/>
        <item x="4"/>
        <item x="105"/>
        <item x="20"/>
        <item x="134"/>
        <item x="278"/>
        <item x="293"/>
        <item x="382"/>
        <item x="31"/>
        <item x="468"/>
        <item x="324"/>
        <item x="479"/>
        <item x="317"/>
        <item x="439"/>
        <item x="404"/>
        <item x="389"/>
        <item x="489"/>
        <item x="210"/>
        <item x="399"/>
        <item x="340"/>
        <item x="453"/>
        <item x="427"/>
        <item x="499"/>
        <item x="3"/>
        <item x="59"/>
        <item x="383"/>
        <item x="251"/>
        <item x="233"/>
        <item x="209"/>
        <item x="39"/>
        <item x="313"/>
        <item x="292"/>
        <item x="8"/>
        <item x="182"/>
        <item x="46"/>
        <item x="107"/>
        <item x="349"/>
        <item x="244"/>
        <item x="356"/>
        <item x="235"/>
        <item x="207"/>
        <item x="478"/>
        <item x="484"/>
        <item x="92"/>
        <item x="426"/>
        <item x="70"/>
        <item x="266"/>
        <item x="485"/>
        <item x="273"/>
        <item x="375"/>
        <item x="65"/>
        <item x="363"/>
        <item x="263"/>
        <item x="306"/>
        <item x="232"/>
        <item x="259"/>
        <item x="6"/>
        <item x="369"/>
        <item x="332"/>
        <item x="112"/>
        <item x="350"/>
        <item x="390"/>
        <item x="490"/>
        <item x="197"/>
        <item x="239"/>
        <item x="325"/>
        <item x="198"/>
        <item x="29"/>
        <item x="400"/>
        <item x="403"/>
        <item x="265"/>
        <item x="50"/>
        <item x="276"/>
        <item x="192"/>
        <item x="55"/>
        <item x="178"/>
        <item x="290"/>
        <item x="348"/>
        <item x="219"/>
        <item x="17"/>
        <item x="51"/>
        <item x="227"/>
        <item x="337"/>
        <item x="393"/>
        <item x="262"/>
        <item x="243"/>
        <item x="43"/>
        <item x="175"/>
        <item x="19"/>
        <item x="328"/>
        <item x="165"/>
        <item x="216"/>
        <item x="101"/>
        <item x="364"/>
        <item x="73"/>
        <item x="76"/>
        <item x="410"/>
        <item x="99"/>
        <item x="108"/>
        <item x="158"/>
        <item x="167"/>
        <item x="459"/>
        <item x="282"/>
        <item x="415"/>
        <item x="27"/>
        <item x="275"/>
        <item x="417"/>
        <item x="312"/>
        <item x="185"/>
        <item x="126"/>
        <item x="116"/>
        <item x="371"/>
        <item x="338"/>
        <item x="473"/>
        <item x="163"/>
        <item x="12"/>
        <item x="494"/>
        <item x="68"/>
        <item x="261"/>
        <item x="296"/>
        <item x="370"/>
        <item x="297"/>
        <item x="497"/>
        <item x="488"/>
        <item x="181"/>
        <item x="225"/>
        <item x="133"/>
        <item x="71"/>
        <item x="314"/>
        <item x="334"/>
        <item x="396"/>
        <item x="130"/>
        <item x="240"/>
        <item x="255"/>
        <item x="110"/>
        <item x="194"/>
        <item x="333"/>
        <item x="237"/>
        <item x="44"/>
        <item x="52"/>
        <item x="131"/>
        <item x="189"/>
        <item x="305"/>
        <item x="385"/>
        <item x="224"/>
        <item x="347"/>
        <item x="289"/>
        <item x="89"/>
        <item x="146"/>
        <item x="463"/>
        <item x="128"/>
        <item x="335"/>
        <item x="88"/>
        <item x="281"/>
        <item x="23"/>
        <item x="77"/>
        <item x="137"/>
        <item x="323"/>
        <item x="260"/>
        <item x="343"/>
        <item x="322"/>
        <item x="358"/>
        <item x="64"/>
        <item x="291"/>
        <item x="455"/>
        <item x="145"/>
        <item x="212"/>
        <item x="336"/>
        <item x="458"/>
        <item x="184"/>
        <item x="284"/>
        <item x="287"/>
        <item x="61"/>
        <item x="156"/>
        <item x="117"/>
        <item x="24"/>
        <item x="481"/>
        <item x="179"/>
        <item x="172"/>
        <item x="482"/>
        <item x="40"/>
        <item x="15"/>
        <item x="436"/>
        <item x="316"/>
        <item x="22"/>
        <item x="310"/>
        <item x="186"/>
        <item x="460"/>
        <item x="54"/>
        <item x="246"/>
        <item x="206"/>
        <item x="301"/>
        <item x="359"/>
        <item x="303"/>
        <item x="466"/>
        <item x="215"/>
        <item x="14"/>
        <item x="409"/>
        <item x="150"/>
        <item x="469"/>
        <item x="53"/>
        <item x="242"/>
        <item x="144"/>
        <item x="84"/>
        <item x="228"/>
        <item x="444"/>
        <item x="420"/>
        <item x="414"/>
        <item x="203"/>
        <item x="147"/>
        <item x="35"/>
        <item x="153"/>
        <item x="452"/>
        <item x="139"/>
        <item x="94"/>
        <item x="353"/>
        <item x="249"/>
        <item x="151"/>
        <item x="354"/>
        <item x="180"/>
        <item x="272"/>
        <item x="85"/>
        <item x="42"/>
        <item x="376"/>
        <item x="208"/>
        <item x="188"/>
        <item x="80"/>
        <item x="351"/>
        <item x="37"/>
        <item x="342"/>
        <item x="96"/>
        <item x="318"/>
        <item x="220"/>
        <item x="492"/>
        <item x="125"/>
        <item x="11"/>
        <item x="480"/>
        <item x="122"/>
        <item x="462"/>
        <item x="161"/>
        <item x="226"/>
        <item x="132"/>
        <item x="257"/>
        <item x="366"/>
        <item x="448"/>
        <item x="69"/>
        <item x="321"/>
        <item x="168"/>
        <item x="286"/>
        <item x="430"/>
        <item x="331"/>
        <item x="1"/>
        <item x="450"/>
        <item x="229"/>
        <item x="269"/>
        <item x="13"/>
        <item x="418"/>
        <item x="374"/>
        <item x="9"/>
        <item x="394"/>
        <item x="91"/>
        <item x="270"/>
        <item x="476"/>
        <item x="49"/>
        <item x="283"/>
        <item x="360"/>
        <item x="190"/>
        <item x="169"/>
        <item x="87"/>
        <item x="93"/>
        <item x="253"/>
        <item x="157"/>
        <item x="166"/>
        <item x="135"/>
        <item x="361"/>
        <item x="437"/>
        <item x="183"/>
        <item x="416"/>
        <item t="default"/>
      </items>
    </pivotField>
    <pivotField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compact="0" showAll="0">
      <items count="501">
        <item x="270"/>
        <item x="361"/>
        <item x="166"/>
        <item x="135"/>
        <item x="416"/>
        <item x="93"/>
        <item x="122"/>
        <item x="269"/>
        <item x="437"/>
        <item x="42"/>
        <item x="394"/>
        <item x="169"/>
        <item x="91"/>
        <item x="183"/>
        <item x="87"/>
        <item x="253"/>
        <item x="476"/>
        <item x="450"/>
        <item x="366"/>
        <item x="374"/>
        <item x="180"/>
        <item x="342"/>
        <item x="418"/>
        <item x="157"/>
        <item x="9"/>
        <item x="360"/>
        <item x="351"/>
        <item x="190"/>
        <item x="331"/>
        <item x="448"/>
        <item x="452"/>
        <item x="84"/>
        <item x="1"/>
        <item x="272"/>
        <item x="257"/>
        <item x="69"/>
        <item x="206"/>
        <item x="147"/>
        <item x="49"/>
        <item x="125"/>
        <item x="117"/>
        <item x="226"/>
        <item x="11"/>
        <item x="54"/>
        <item x="466"/>
        <item x="144"/>
        <item x="283"/>
        <item x="229"/>
        <item x="354"/>
        <item x="480"/>
        <item x="23"/>
        <item x="132"/>
        <item x="96"/>
        <item x="151"/>
        <item x="40"/>
        <item x="13"/>
        <item x="321"/>
        <item x="208"/>
        <item x="150"/>
        <item x="228"/>
        <item x="492"/>
        <item x="240"/>
        <item x="436"/>
        <item x="481"/>
        <item x="430"/>
        <item x="188"/>
        <item x="168"/>
        <item x="156"/>
        <item x="80"/>
        <item x="286"/>
        <item x="146"/>
        <item x="220"/>
        <item x="249"/>
        <item x="85"/>
        <item x="318"/>
        <item x="420"/>
        <item x="303"/>
        <item x="161"/>
        <item x="110"/>
        <item x="337"/>
        <item x="260"/>
        <item x="64"/>
        <item x="414"/>
        <item x="242"/>
        <item x="22"/>
        <item x="463"/>
        <item x="462"/>
        <item x="179"/>
        <item x="409"/>
        <item x="53"/>
        <item x="52"/>
        <item x="128"/>
        <item x="415"/>
        <item x="126"/>
        <item x="212"/>
        <item x="358"/>
        <item x="291"/>
        <item x="396"/>
        <item x="284"/>
        <item x="158"/>
        <item x="314"/>
        <item x="27"/>
        <item x="94"/>
        <item x="68"/>
        <item x="376"/>
        <item x="216"/>
        <item x="215"/>
        <item x="336"/>
        <item x="338"/>
        <item x="14"/>
        <item x="185"/>
        <item x="246"/>
        <item x="497"/>
        <item x="89"/>
        <item x="316"/>
        <item x="203"/>
        <item x="15"/>
        <item x="139"/>
        <item x="37"/>
        <item x="370"/>
        <item x="281"/>
        <item x="287"/>
        <item x="353"/>
        <item x="400"/>
        <item x="165"/>
        <item x="417"/>
        <item x="469"/>
        <item x="35"/>
        <item x="189"/>
        <item x="153"/>
        <item x="99"/>
        <item x="458"/>
        <item x="186"/>
        <item x="71"/>
        <item x="312"/>
        <item x="130"/>
        <item x="410"/>
        <item x="77"/>
        <item x="444"/>
        <item x="237"/>
        <item x="325"/>
        <item x="61"/>
        <item x="181"/>
        <item x="322"/>
        <item x="494"/>
        <item x="137"/>
        <item x="224"/>
        <item x="273"/>
        <item x="364"/>
        <item x="50"/>
        <item x="43"/>
        <item x="343"/>
        <item x="225"/>
        <item x="24"/>
        <item x="301"/>
        <item x="484"/>
        <item x="297"/>
        <item x="349"/>
        <item x="359"/>
        <item x="55"/>
        <item x="175"/>
        <item x="275"/>
        <item x="51"/>
        <item x="333"/>
        <item x="460"/>
        <item x="292"/>
        <item x="348"/>
        <item x="19"/>
        <item x="310"/>
        <item x="427"/>
        <item x="276"/>
        <item x="347"/>
        <item x="233"/>
        <item x="232"/>
        <item x="194"/>
        <item x="145"/>
        <item x="455"/>
        <item x="172"/>
        <item x="482"/>
        <item x="369"/>
        <item x="282"/>
        <item x="184"/>
        <item x="116"/>
        <item x="393"/>
        <item x="88"/>
        <item x="296"/>
        <item x="324"/>
        <item x="473"/>
        <item x="12"/>
        <item x="439"/>
        <item x="44"/>
        <item x="478"/>
        <item x="371"/>
        <item x="59"/>
        <item x="323"/>
        <item x="262"/>
        <item x="289"/>
        <item x="192"/>
        <item x="459"/>
        <item x="335"/>
        <item x="187"/>
        <item x="197"/>
        <item x="8"/>
        <item x="429"/>
        <item x="305"/>
        <item x="356"/>
        <item x="163"/>
        <item x="385"/>
        <item x="227"/>
        <item x="327"/>
        <item x="243"/>
        <item x="261"/>
        <item x="219"/>
        <item x="234"/>
        <item x="196"/>
        <item x="344"/>
        <item x="36"/>
        <item x="365"/>
        <item x="131"/>
        <item x="339"/>
        <item x="108"/>
        <item x="290"/>
        <item x="255"/>
        <item x="207"/>
        <item x="214"/>
        <item x="399"/>
        <item x="209"/>
        <item x="73"/>
        <item x="123"/>
        <item x="375"/>
        <item x="389"/>
        <item x="355"/>
        <item x="182"/>
        <item x="334"/>
        <item x="105"/>
        <item x="453"/>
        <item x="107"/>
        <item x="464"/>
        <item x="222"/>
        <item x="213"/>
        <item x="133"/>
        <item x="167"/>
        <item x="47"/>
        <item x="426"/>
        <item x="29"/>
        <item x="403"/>
        <item x="4"/>
        <item x="428"/>
        <item x="32"/>
        <item x="461"/>
        <item x="441"/>
        <item x="446"/>
        <item x="114"/>
        <item x="328"/>
        <item x="244"/>
        <item x="254"/>
        <item x="449"/>
        <item x="6"/>
        <item x="295"/>
        <item x="79"/>
        <item x="39"/>
        <item x="496"/>
        <item x="298"/>
        <item x="111"/>
        <item x="346"/>
        <item x="363"/>
        <item x="285"/>
        <item x="488"/>
        <item x="258"/>
        <item x="134"/>
        <item x="112"/>
        <item x="205"/>
        <item x="265"/>
        <item x="308"/>
        <item x="395"/>
        <item x="202"/>
        <item x="293"/>
        <item x="76"/>
        <item x="320"/>
        <item x="75"/>
        <item x="313"/>
        <item x="231"/>
        <item x="200"/>
        <item x="404"/>
        <item x="390"/>
        <item x="431"/>
        <item x="7"/>
        <item x="201"/>
        <item x="198"/>
        <item x="493"/>
        <item x="121"/>
        <item x="251"/>
        <item x="101"/>
        <item x="171"/>
        <item x="30"/>
        <item x="70"/>
        <item x="263"/>
        <item x="239"/>
        <item x="259"/>
        <item x="21"/>
        <item x="195"/>
        <item x="109"/>
        <item x="18"/>
        <item x="31"/>
        <item x="65"/>
        <item x="309"/>
        <item x="288"/>
        <item x="422"/>
        <item x="490"/>
        <item x="100"/>
        <item x="264"/>
        <item x="17"/>
        <item x="457"/>
        <item x="129"/>
        <item x="178"/>
        <item x="387"/>
        <item x="173"/>
        <item x="143"/>
        <item x="142"/>
        <item x="294"/>
        <item x="495"/>
        <item x="326"/>
        <item x="20"/>
        <item x="210"/>
        <item x="57"/>
        <item x="411"/>
        <item x="211"/>
        <item x="124"/>
        <item x="465"/>
        <item x="499"/>
        <item x="266"/>
        <item x="306"/>
        <item x="92"/>
        <item x="149"/>
        <item x="479"/>
        <item x="136"/>
        <item x="46"/>
        <item x="489"/>
        <item x="485"/>
        <item x="103"/>
        <item x="315"/>
        <item x="138"/>
        <item x="221"/>
        <item x="152"/>
        <item x="401"/>
        <item x="319"/>
        <item x="332"/>
        <item x="277"/>
        <item x="330"/>
        <item x="350"/>
        <item x="477"/>
        <item x="58"/>
        <item x="230"/>
        <item x="300"/>
        <item x="176"/>
        <item x="104"/>
        <item x="267"/>
        <item x="113"/>
        <item x="278"/>
        <item x="447"/>
        <item x="3"/>
        <item x="304"/>
        <item x="236"/>
        <item x="120"/>
        <item x="440"/>
        <item x="235"/>
        <item x="380"/>
        <item x="256"/>
        <item x="398"/>
        <item x="317"/>
        <item x="95"/>
        <item x="86"/>
        <item x="74"/>
        <item x="408"/>
        <item x="405"/>
        <item x="468"/>
        <item x="299"/>
        <item x="340"/>
        <item x="352"/>
        <item x="432"/>
        <item x="119"/>
        <item x="160"/>
        <item x="118"/>
        <item x="252"/>
        <item x="10"/>
        <item x="434"/>
        <item x="248"/>
        <item x="341"/>
        <item x="357"/>
        <item x="419"/>
        <item x="491"/>
        <item x="383"/>
        <item x="378"/>
        <item x="382"/>
        <item x="56"/>
        <item x="162"/>
        <item x="62"/>
        <item x="311"/>
        <item x="472"/>
        <item x="83"/>
        <item x="115"/>
        <item x="386"/>
        <item x="362"/>
        <item x="245"/>
        <item x="379"/>
        <item x="487"/>
        <item x="470"/>
        <item x="45"/>
        <item x="159"/>
        <item x="127"/>
        <item x="154"/>
        <item x="98"/>
        <item x="435"/>
        <item x="48"/>
        <item x="82"/>
        <item x="140"/>
        <item x="329"/>
        <item x="274"/>
        <item x="397"/>
        <item x="425"/>
        <item x="483"/>
        <item x="438"/>
        <item x="191"/>
        <item x="474"/>
        <item x="66"/>
        <item x="498"/>
        <item x="106"/>
        <item x="164"/>
        <item x="28"/>
        <item x="402"/>
        <item x="241"/>
        <item x="391"/>
        <item x="377"/>
        <item x="486"/>
        <item x="407"/>
        <item x="26"/>
        <item x="78"/>
        <item x="421"/>
        <item x="97"/>
        <item x="367"/>
        <item x="38"/>
        <item x="177"/>
        <item x="218"/>
        <item x="443"/>
        <item x="454"/>
        <item x="199"/>
        <item x="72"/>
        <item x="60"/>
        <item x="279"/>
        <item x="412"/>
        <item x="381"/>
        <item x="102"/>
        <item x="442"/>
        <item x="271"/>
        <item x="25"/>
        <item x="302"/>
        <item x="368"/>
        <item x="467"/>
        <item x="90"/>
        <item x="345"/>
        <item x="247"/>
        <item x="5"/>
        <item x="141"/>
        <item x="471"/>
        <item x="373"/>
        <item x="204"/>
        <item x="193"/>
        <item x="413"/>
        <item x="280"/>
        <item x="388"/>
        <item x="174"/>
        <item x="250"/>
        <item x="384"/>
        <item x="372"/>
        <item x="67"/>
        <item x="34"/>
        <item x="433"/>
        <item x="424"/>
        <item x="268"/>
        <item x="392"/>
        <item x="238"/>
        <item x="223"/>
        <item x="217"/>
        <item x="2"/>
        <item x="81"/>
        <item x="423"/>
        <item x="445"/>
        <item x="0"/>
        <item x="307"/>
        <item x="63"/>
        <item x="41"/>
        <item x="451"/>
        <item x="475"/>
        <item x="148"/>
        <item x="406"/>
        <item x="170"/>
        <item x="33"/>
        <item x="456"/>
        <item x="16"/>
        <item x="155"/>
        <item t="default"/>
      </items>
    </pivotField>
    <pivotField compact="0" showAll="0">
      <items count="501">
        <item x="135"/>
        <item x="9"/>
        <item x="361"/>
        <item x="270"/>
        <item x="394"/>
        <item x="253"/>
        <item x="416"/>
        <item x="93"/>
        <item x="49"/>
        <item x="331"/>
        <item x="269"/>
        <item x="183"/>
        <item x="437"/>
        <item x="190"/>
        <item x="418"/>
        <item x="1"/>
        <item x="360"/>
        <item x="366"/>
        <item x="229"/>
        <item x="125"/>
        <item x="87"/>
        <item x="166"/>
        <item x="476"/>
        <item x="69"/>
        <item x="96"/>
        <item x="42"/>
        <item x="91"/>
        <item x="272"/>
        <item x="157"/>
        <item x="169"/>
        <item x="122"/>
        <item x="283"/>
        <item x="450"/>
        <item x="13"/>
        <item x="321"/>
        <item x="448"/>
        <item x="144"/>
        <item x="374"/>
        <item x="257"/>
        <item x="180"/>
        <item x="84"/>
        <item x="430"/>
        <item x="342"/>
        <item x="242"/>
        <item x="156"/>
        <item x="351"/>
        <item x="54"/>
        <item x="22"/>
        <item x="452"/>
        <item x="436"/>
        <item x="188"/>
        <item x="466"/>
        <item x="420"/>
        <item x="206"/>
        <item x="179"/>
        <item x="354"/>
        <item x="208"/>
        <item x="147"/>
        <item x="318"/>
        <item x="14"/>
        <item x="286"/>
        <item x="481"/>
        <item x="303"/>
        <item x="117"/>
        <item x="220"/>
        <item x="480"/>
        <item x="151"/>
        <item x="110"/>
        <item x="132"/>
        <item x="463"/>
        <item x="168"/>
        <item x="291"/>
        <item x="146"/>
        <item x="284"/>
        <item x="150"/>
        <item x="409"/>
        <item x="226"/>
        <item x="94"/>
        <item x="11"/>
        <item x="240"/>
        <item x="396"/>
        <item x="336"/>
        <item x="40"/>
        <item x="249"/>
        <item x="492"/>
        <item x="85"/>
        <item x="376"/>
        <item x="228"/>
        <item x="23"/>
        <item x="161"/>
        <item x="185"/>
        <item x="497"/>
        <item x="212"/>
        <item x="153"/>
        <item x="37"/>
        <item x="260"/>
        <item x="415"/>
        <item x="462"/>
        <item x="68"/>
        <item x="246"/>
        <item x="27"/>
        <item x="53"/>
        <item x="139"/>
        <item x="35"/>
        <item x="80"/>
        <item x="414"/>
        <item x="158"/>
        <item x="52"/>
        <item x="64"/>
        <item x="126"/>
        <item x="312"/>
        <item x="203"/>
        <item x="128"/>
        <item x="314"/>
        <item x="99"/>
        <item x="287"/>
        <item x="337"/>
        <item x="89"/>
        <item x="417"/>
        <item x="165"/>
        <item x="15"/>
        <item x="216"/>
        <item x="358"/>
        <item x="458"/>
        <item x="71"/>
        <item x="338"/>
        <item x="215"/>
        <item x="370"/>
        <item x="400"/>
        <item x="316"/>
        <item x="189"/>
        <item x="281"/>
        <item x="353"/>
        <item x="469"/>
        <item x="444"/>
        <item x="224"/>
        <item x="186"/>
        <item x="325"/>
        <item x="77"/>
        <item x="130"/>
        <item x="237"/>
        <item x="410"/>
        <item x="494"/>
        <item x="273"/>
        <item x="61"/>
        <item x="322"/>
        <item x="181"/>
        <item x="24"/>
        <item x="364"/>
        <item x="43"/>
        <item x="137"/>
        <item x="50"/>
        <item x="343"/>
        <item x="301"/>
        <item x="225"/>
        <item x="484"/>
        <item x="297"/>
        <item x="349"/>
        <item x="55"/>
        <item x="359"/>
        <item x="175"/>
        <item x="275"/>
        <item x="51"/>
        <item x="348"/>
        <item x="292"/>
        <item x="333"/>
        <item x="427"/>
        <item x="276"/>
        <item x="460"/>
        <item x="347"/>
        <item x="19"/>
        <item x="310"/>
        <item x="482"/>
        <item x="369"/>
        <item x="88"/>
        <item x="145"/>
        <item x="233"/>
        <item x="393"/>
        <item x="184"/>
        <item x="194"/>
        <item x="172"/>
        <item x="473"/>
        <item x="232"/>
        <item x="116"/>
        <item x="324"/>
        <item x="455"/>
        <item x="439"/>
        <item x="282"/>
        <item x="371"/>
        <item x="335"/>
        <item x="163"/>
        <item x="262"/>
        <item x="323"/>
        <item x="59"/>
        <item x="108"/>
        <item x="399"/>
        <item x="459"/>
        <item x="12"/>
        <item x="8"/>
        <item x="197"/>
        <item x="385"/>
        <item x="296"/>
        <item x="327"/>
        <item x="73"/>
        <item x="334"/>
        <item x="289"/>
        <item x="131"/>
        <item x="403"/>
        <item x="339"/>
        <item x="305"/>
        <item x="44"/>
        <item x="255"/>
        <item x="192"/>
        <item x="107"/>
        <item x="453"/>
        <item x="356"/>
        <item x="478"/>
        <item x="29"/>
        <item x="105"/>
        <item x="355"/>
        <item x="219"/>
        <item x="209"/>
        <item x="4"/>
        <item x="429"/>
        <item x="133"/>
        <item x="187"/>
        <item x="328"/>
        <item x="265"/>
        <item x="261"/>
        <item x="244"/>
        <item x="112"/>
        <item x="395"/>
        <item x="375"/>
        <item x="227"/>
        <item x="167"/>
        <item x="234"/>
        <item x="488"/>
        <item x="290"/>
        <item x="32"/>
        <item x="76"/>
        <item x="389"/>
        <item x="258"/>
        <item x="205"/>
        <item x="449"/>
        <item x="243"/>
        <item x="344"/>
        <item x="298"/>
        <item x="428"/>
        <item x="134"/>
        <item x="198"/>
        <item x="431"/>
        <item x="207"/>
        <item x="390"/>
        <item x="213"/>
        <item x="36"/>
        <item x="214"/>
        <item x="47"/>
        <item x="365"/>
        <item x="441"/>
        <item x="6"/>
        <item x="461"/>
        <item x="196"/>
        <item x="254"/>
        <item x="263"/>
        <item x="464"/>
        <item x="222"/>
        <item x="101"/>
        <item x="182"/>
        <item x="259"/>
        <item x="239"/>
        <item x="496"/>
        <item x="121"/>
        <item x="17"/>
        <item x="171"/>
        <item x="178"/>
        <item x="18"/>
        <item x="313"/>
        <item x="426"/>
        <item x="363"/>
        <item x="39"/>
        <item x="70"/>
        <item x="493"/>
        <item x="210"/>
        <item x="295"/>
        <item x="485"/>
        <item x="114"/>
        <item x="31"/>
        <item x="266"/>
        <item x="109"/>
        <item x="92"/>
        <item x="465"/>
        <item x="123"/>
        <item x="490"/>
        <item x="308"/>
        <item x="309"/>
        <item x="75"/>
        <item x="350"/>
        <item x="330"/>
        <item x="136"/>
        <item x="149"/>
        <item x="264"/>
        <item x="341"/>
        <item x="306"/>
        <item x="235"/>
        <item x="332"/>
        <item x="142"/>
        <item x="65"/>
        <item x="202"/>
        <item x="326"/>
        <item x="285"/>
        <item x="479"/>
        <item x="288"/>
        <item x="404"/>
        <item x="446"/>
        <item x="293"/>
        <item x="79"/>
        <item x="251"/>
        <item x="422"/>
        <item x="138"/>
        <item x="21"/>
        <item x="380"/>
        <item x="231"/>
        <item x="383"/>
        <item x="111"/>
        <item x="489"/>
        <item x="346"/>
        <item x="46"/>
        <item x="499"/>
        <item x="211"/>
        <item x="352"/>
        <item x="200"/>
        <item x="119"/>
        <item x="299"/>
        <item x="320"/>
        <item x="304"/>
        <item x="495"/>
        <item x="58"/>
        <item x="468"/>
        <item x="447"/>
        <item x="477"/>
        <item x="160"/>
        <item x="20"/>
        <item x="7"/>
        <item x="382"/>
        <item x="30"/>
        <item x="340"/>
        <item x="3"/>
        <item x="457"/>
        <item x="62"/>
        <item x="317"/>
        <item x="278"/>
        <item x="195"/>
        <item x="252"/>
        <item x="245"/>
        <item x="129"/>
        <item x="435"/>
        <item x="83"/>
        <item x="277"/>
        <item x="177"/>
        <item x="66"/>
        <item x="120"/>
        <item x="408"/>
        <item x="401"/>
        <item x="86"/>
        <item x="140"/>
        <item x="201"/>
        <item x="256"/>
        <item x="154"/>
        <item x="367"/>
        <item x="173"/>
        <item x="386"/>
        <item x="115"/>
        <item x="10"/>
        <item x="127"/>
        <item x="103"/>
        <item x="378"/>
        <item x="230"/>
        <item x="159"/>
        <item x="387"/>
        <item x="236"/>
        <item x="124"/>
        <item x="100"/>
        <item x="191"/>
        <item x="241"/>
        <item x="362"/>
        <item x="487"/>
        <item x="483"/>
        <item x="143"/>
        <item x="221"/>
        <item x="379"/>
        <item x="419"/>
        <item x="491"/>
        <item x="498"/>
        <item x="311"/>
        <item x="402"/>
        <item x="248"/>
        <item x="411"/>
        <item x="271"/>
        <item x="82"/>
        <item x="38"/>
        <item x="267"/>
        <item x="440"/>
        <item x="57"/>
        <item x="397"/>
        <item x="412"/>
        <item x="300"/>
        <item x="176"/>
        <item x="454"/>
        <item x="438"/>
        <item x="113"/>
        <item x="104"/>
        <item x="45"/>
        <item x="405"/>
        <item x="174"/>
        <item x="90"/>
        <item x="294"/>
        <item x="398"/>
        <item x="25"/>
        <item x="368"/>
        <item x="329"/>
        <item x="152"/>
        <item x="432"/>
        <item x="302"/>
        <item x="74"/>
        <item x="443"/>
        <item x="319"/>
        <item x="357"/>
        <item x="118"/>
        <item x="315"/>
        <item x="274"/>
        <item x="377"/>
        <item x="95"/>
        <item x="434"/>
        <item x="345"/>
        <item x="28"/>
        <item x="391"/>
        <item x="381"/>
        <item x="421"/>
        <item x="72"/>
        <item x="48"/>
        <item x="470"/>
        <item x="102"/>
        <item x="384"/>
        <item x="218"/>
        <item x="98"/>
        <item x="26"/>
        <item x="486"/>
        <item x="164"/>
        <item x="56"/>
        <item x="279"/>
        <item x="78"/>
        <item x="204"/>
        <item x="162"/>
        <item x="392"/>
        <item x="106"/>
        <item x="60"/>
        <item x="424"/>
        <item x="407"/>
        <item x="472"/>
        <item x="148"/>
        <item x="247"/>
        <item x="141"/>
        <item x="433"/>
        <item x="425"/>
        <item x="442"/>
        <item x="217"/>
        <item x="268"/>
        <item x="475"/>
        <item x="451"/>
        <item x="97"/>
        <item x="199"/>
        <item x="307"/>
        <item x="445"/>
        <item x="238"/>
        <item x="413"/>
        <item x="474"/>
        <item x="193"/>
        <item x="0"/>
        <item x="373"/>
        <item x="34"/>
        <item x="388"/>
        <item x="5"/>
        <item x="170"/>
        <item x="406"/>
        <item x="423"/>
        <item x="250"/>
        <item x="467"/>
        <item x="81"/>
        <item x="372"/>
        <item x="223"/>
        <item x="471"/>
        <item x="280"/>
        <item x="2"/>
        <item x="63"/>
        <item x="67"/>
        <item x="16"/>
        <item x="41"/>
        <item x="155"/>
        <item x="456"/>
        <item x="33"/>
        <item t="default"/>
      </items>
    </pivotField>
    <pivotField compact="0" showAll="0">
      <items count="8">
        <item x="5"/>
        <item x="1"/>
        <item x="4"/>
        <item x="3"/>
        <item x="2"/>
        <item x="0"/>
        <item x="6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nversions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_Month1" sourceName="Year-Month">
  <pivotTables>
    <pivotTable tabId="2" name="PivotTable1"/>
  </pivotTables>
  <data>
    <tabular pivotCacheId="1">
      <items count="7">
        <i x="5" s="1"/>
        <i x="1" s="1"/>
        <i x="4" s="1"/>
        <i x="3" s="1"/>
        <i x="2" s="1"/>
        <i x="0" s="1"/>
        <i x="6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annel1" sourceName="Channel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</pivotTables>
  <data>
    <tabular pivotCacheId="1">
      <items count="5">
        <i x="1" s="1"/>
        <i x="0" s="1"/>
        <i x="4" s="1"/>
        <i x="3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</pivotTables>
  <data>
    <tabular pivotCacheId="1">
      <items count="4">
        <i x="0" s="1"/>
        <i x="2" s="1"/>
        <i x="1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-Month" cache="Slicer_Year_Month1" caption="Year-Month" style="SlicerStyleLight4" rowHeight="234950"/>
  <slicer name="Channel" cache="Slicer_Channel1" caption="Channel" style="SlicerStyleLight4" rowHeight="234950"/>
  <slicer name="Region" cache="Slicer_Region" caption="Region" style="SlicerStyleLight4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-Month 1" cache="Slicer_Year_Month1" caption="Year-Month" startItem="2" style="SlicerStyleLight4" rowHeight="234950"/>
  <slicer name="Channel 1" cache="Slicer_Channel1" caption="Channel" style="SlicerStyleLight4" rowHeight="234950"/>
  <slicer name="Region 1" cache="Slicer_Region" caption="Region" style="SlicerStyleLight4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microsoft.com/office/2007/relationships/slicer" Target="../slicers/slicer1.xml"/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1"/>
  <sheetViews>
    <sheetView workbookViewId="0">
      <selection activeCell="I1" sqref="I1:J1"/>
    </sheetView>
  </sheetViews>
  <sheetFormatPr defaultColWidth="9" defaultRowHeight="14.4"/>
  <cols>
    <col min="2" max="2" width="14.4444444444444" customWidth="1"/>
    <col min="3" max="3" width="15.1111111111111" customWidth="1"/>
    <col min="4" max="4" width="14.3333333333333" customWidth="1"/>
    <col min="5" max="5" width="11.6666666666667" customWidth="1"/>
    <col min="6" max="6" width="12.6666666666667" customWidth="1"/>
    <col min="8" max="8" width="14.2222222222222" customWidth="1"/>
    <col min="9" max="9" width="11.3333333333333" customWidth="1"/>
    <col min="10" max="10" width="17.11111111111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5">
        <v>45780</v>
      </c>
      <c r="C2" t="s">
        <v>11</v>
      </c>
      <c r="D2" t="s">
        <v>12</v>
      </c>
      <c r="E2">
        <v>5621.78</v>
      </c>
      <c r="F2">
        <v>6100.84</v>
      </c>
      <c r="G2">
        <v>120704</v>
      </c>
      <c r="H2">
        <v>5511</v>
      </c>
      <c r="I2">
        <v>1050</v>
      </c>
      <c r="J2">
        <v>44057.81</v>
      </c>
    </row>
    <row r="3" spans="1:10">
      <c r="A3" t="s">
        <v>13</v>
      </c>
      <c r="B3" s="15">
        <v>45674</v>
      </c>
      <c r="C3" t="s">
        <v>14</v>
      </c>
      <c r="D3" t="s">
        <v>15</v>
      </c>
      <c r="E3">
        <v>7190.61</v>
      </c>
      <c r="F3">
        <v>6089.05</v>
      </c>
      <c r="G3">
        <v>64473</v>
      </c>
      <c r="H3">
        <v>1120</v>
      </c>
      <c r="I3">
        <v>72</v>
      </c>
      <c r="J3">
        <v>1776.95</v>
      </c>
    </row>
    <row r="4" spans="1:10">
      <c r="A4" t="s">
        <v>16</v>
      </c>
      <c r="B4" s="15">
        <v>45751</v>
      </c>
      <c r="C4" t="s">
        <v>14</v>
      </c>
      <c r="D4" t="s">
        <v>17</v>
      </c>
      <c r="E4">
        <v>3406.59</v>
      </c>
      <c r="F4">
        <v>3610.48</v>
      </c>
      <c r="G4">
        <v>113908</v>
      </c>
      <c r="H4">
        <v>5345</v>
      </c>
      <c r="I4">
        <v>1004</v>
      </c>
      <c r="J4">
        <v>38185.58</v>
      </c>
    </row>
    <row r="5" spans="1:10">
      <c r="A5" t="s">
        <v>18</v>
      </c>
      <c r="B5" s="15">
        <v>45807</v>
      </c>
      <c r="C5" t="s">
        <v>19</v>
      </c>
      <c r="D5" t="s">
        <v>20</v>
      </c>
      <c r="E5">
        <v>7956.51</v>
      </c>
      <c r="F5">
        <v>6414.34</v>
      </c>
      <c r="G5">
        <v>91921</v>
      </c>
      <c r="H5">
        <v>3787</v>
      </c>
      <c r="I5">
        <v>329</v>
      </c>
      <c r="J5">
        <v>16153.01</v>
      </c>
    </row>
    <row r="6" spans="1:10">
      <c r="A6" t="s">
        <v>21</v>
      </c>
      <c r="B6" s="15">
        <v>45791</v>
      </c>
      <c r="C6" t="s">
        <v>22</v>
      </c>
      <c r="D6" t="s">
        <v>12</v>
      </c>
      <c r="E6">
        <v>8827.1</v>
      </c>
      <c r="F6">
        <v>7623.98</v>
      </c>
      <c r="G6">
        <v>191026</v>
      </c>
      <c r="H6">
        <v>8786</v>
      </c>
      <c r="I6">
        <v>423</v>
      </c>
      <c r="J6">
        <v>10767.36</v>
      </c>
    </row>
    <row r="7" spans="1:10">
      <c r="A7" t="s">
        <v>23</v>
      </c>
      <c r="B7" s="15">
        <v>45764</v>
      </c>
      <c r="C7" t="s">
        <v>24</v>
      </c>
      <c r="D7" t="s">
        <v>15</v>
      </c>
      <c r="E7">
        <v>4283.83</v>
      </c>
      <c r="F7">
        <v>3818.06</v>
      </c>
      <c r="G7">
        <v>127588</v>
      </c>
      <c r="H7">
        <v>5087</v>
      </c>
      <c r="I7">
        <v>842</v>
      </c>
      <c r="J7">
        <v>30095.35</v>
      </c>
    </row>
    <row r="8" spans="1:10">
      <c r="A8" t="s">
        <v>25</v>
      </c>
      <c r="B8" s="15">
        <v>45746</v>
      </c>
      <c r="C8" t="s">
        <v>19</v>
      </c>
      <c r="D8" t="s">
        <v>17</v>
      </c>
      <c r="E8">
        <v>6023.62</v>
      </c>
      <c r="F8">
        <v>5345.17</v>
      </c>
      <c r="G8">
        <v>72336</v>
      </c>
      <c r="H8">
        <v>1340</v>
      </c>
      <c r="I8">
        <v>236</v>
      </c>
      <c r="J8">
        <v>9051.92</v>
      </c>
    </row>
    <row r="9" spans="1:10">
      <c r="A9" t="s">
        <v>26</v>
      </c>
      <c r="B9" s="15">
        <v>45756</v>
      </c>
      <c r="C9" t="s">
        <v>14</v>
      </c>
      <c r="D9" t="s">
        <v>15</v>
      </c>
      <c r="E9">
        <v>3976.46</v>
      </c>
      <c r="F9">
        <v>3529.68</v>
      </c>
      <c r="G9">
        <v>64153</v>
      </c>
      <c r="H9">
        <v>2806</v>
      </c>
      <c r="I9">
        <v>283</v>
      </c>
      <c r="J9">
        <v>8770.41</v>
      </c>
    </row>
    <row r="10" spans="1:10">
      <c r="A10" t="s">
        <v>27</v>
      </c>
      <c r="B10" s="15">
        <v>45690</v>
      </c>
      <c r="C10" t="s">
        <v>19</v>
      </c>
      <c r="D10" t="s">
        <v>20</v>
      </c>
      <c r="E10">
        <v>6192.49</v>
      </c>
      <c r="F10">
        <v>6412.65</v>
      </c>
      <c r="G10">
        <v>53911</v>
      </c>
      <c r="H10">
        <v>2127</v>
      </c>
      <c r="I10">
        <v>315</v>
      </c>
      <c r="J10">
        <v>8186.92</v>
      </c>
    </row>
    <row r="11" spans="1:10">
      <c r="A11" t="s">
        <v>28</v>
      </c>
      <c r="B11" s="15">
        <v>45751</v>
      </c>
      <c r="C11" t="s">
        <v>19</v>
      </c>
      <c r="D11" t="s">
        <v>15</v>
      </c>
      <c r="E11">
        <v>6599.64</v>
      </c>
      <c r="F11">
        <v>6452.63</v>
      </c>
      <c r="G11">
        <v>185980</v>
      </c>
      <c r="H11">
        <v>5168</v>
      </c>
      <c r="I11">
        <v>68</v>
      </c>
      <c r="J11">
        <v>1454.76</v>
      </c>
    </row>
    <row r="12" spans="1:10">
      <c r="A12" t="s">
        <v>29</v>
      </c>
      <c r="B12" s="15">
        <v>45744</v>
      </c>
      <c r="C12" t="s">
        <v>19</v>
      </c>
      <c r="D12" t="s">
        <v>17</v>
      </c>
      <c r="E12">
        <v>7252.81</v>
      </c>
      <c r="F12">
        <v>6173.28</v>
      </c>
      <c r="G12">
        <v>195024</v>
      </c>
      <c r="H12">
        <v>9701</v>
      </c>
      <c r="I12">
        <v>801</v>
      </c>
      <c r="J12">
        <v>17583.19</v>
      </c>
    </row>
    <row r="13" spans="1:10">
      <c r="A13" t="s">
        <v>30</v>
      </c>
      <c r="B13" s="15">
        <v>45754</v>
      </c>
      <c r="C13" t="s">
        <v>24</v>
      </c>
      <c r="D13" t="s">
        <v>15</v>
      </c>
      <c r="E13">
        <v>9642.2</v>
      </c>
      <c r="F13">
        <v>10507.01</v>
      </c>
      <c r="G13">
        <v>54909</v>
      </c>
      <c r="H13">
        <v>2182</v>
      </c>
      <c r="I13">
        <v>153</v>
      </c>
      <c r="J13">
        <v>6770.54</v>
      </c>
    </row>
    <row r="14" spans="1:10">
      <c r="A14" t="s">
        <v>31</v>
      </c>
      <c r="B14" s="15">
        <v>45805</v>
      </c>
      <c r="C14" t="s">
        <v>22</v>
      </c>
      <c r="D14" t="s">
        <v>20</v>
      </c>
      <c r="E14">
        <v>5132.3</v>
      </c>
      <c r="F14">
        <v>4256.22</v>
      </c>
      <c r="G14">
        <v>69520</v>
      </c>
      <c r="H14">
        <v>1141</v>
      </c>
      <c r="I14">
        <v>134</v>
      </c>
      <c r="J14">
        <v>5430.62</v>
      </c>
    </row>
    <row r="15" spans="1:10">
      <c r="A15" t="s">
        <v>32</v>
      </c>
      <c r="B15" s="15">
        <v>45672</v>
      </c>
      <c r="C15" t="s">
        <v>22</v>
      </c>
      <c r="D15" t="s">
        <v>12</v>
      </c>
      <c r="E15">
        <v>6081.07</v>
      </c>
      <c r="F15">
        <v>5087.49</v>
      </c>
      <c r="G15">
        <v>126413</v>
      </c>
      <c r="H15">
        <v>3059</v>
      </c>
      <c r="I15">
        <v>58</v>
      </c>
      <c r="J15">
        <v>2021.61</v>
      </c>
    </row>
    <row r="16" spans="1:10">
      <c r="A16" t="s">
        <v>33</v>
      </c>
      <c r="B16" s="15">
        <v>45646</v>
      </c>
      <c r="C16" t="s">
        <v>11</v>
      </c>
      <c r="D16" t="s">
        <v>12</v>
      </c>
      <c r="E16">
        <v>3240.72</v>
      </c>
      <c r="F16">
        <v>3476.63</v>
      </c>
      <c r="G16">
        <v>76429</v>
      </c>
      <c r="H16">
        <v>2090</v>
      </c>
      <c r="I16">
        <v>69</v>
      </c>
      <c r="J16">
        <v>1915.67</v>
      </c>
    </row>
    <row r="17" spans="1:10">
      <c r="A17" t="s">
        <v>34</v>
      </c>
      <c r="B17" s="15">
        <v>45691</v>
      </c>
      <c r="C17" t="s">
        <v>11</v>
      </c>
      <c r="D17" t="s">
        <v>20</v>
      </c>
      <c r="E17">
        <v>7637.66</v>
      </c>
      <c r="F17">
        <v>6824.35</v>
      </c>
      <c r="G17">
        <v>59367</v>
      </c>
      <c r="H17">
        <v>1348</v>
      </c>
      <c r="I17">
        <v>152</v>
      </c>
      <c r="J17">
        <v>5411.51</v>
      </c>
    </row>
    <row r="18" spans="1:10">
      <c r="A18" t="s">
        <v>35</v>
      </c>
      <c r="B18" s="15">
        <v>45725</v>
      </c>
      <c r="C18" t="s">
        <v>14</v>
      </c>
      <c r="D18" t="s">
        <v>20</v>
      </c>
      <c r="E18">
        <v>6826.97</v>
      </c>
      <c r="F18">
        <v>5840.17</v>
      </c>
      <c r="G18">
        <v>186370</v>
      </c>
      <c r="H18">
        <v>9073</v>
      </c>
      <c r="I18">
        <v>1366</v>
      </c>
      <c r="J18">
        <v>67053.58</v>
      </c>
    </row>
    <row r="19" spans="1:10">
      <c r="A19" t="s">
        <v>36</v>
      </c>
      <c r="B19" s="15">
        <v>45791</v>
      </c>
      <c r="C19" t="s">
        <v>24</v>
      </c>
      <c r="D19" t="s">
        <v>20</v>
      </c>
      <c r="E19">
        <v>8425.93</v>
      </c>
      <c r="F19">
        <v>9115.59</v>
      </c>
      <c r="G19">
        <v>177209</v>
      </c>
      <c r="H19">
        <v>2628</v>
      </c>
      <c r="I19">
        <v>342</v>
      </c>
      <c r="J19">
        <v>16020.93</v>
      </c>
    </row>
    <row r="20" spans="1:10">
      <c r="A20" t="s">
        <v>37</v>
      </c>
      <c r="B20" s="15">
        <v>45803</v>
      </c>
      <c r="C20" t="s">
        <v>11</v>
      </c>
      <c r="D20" t="s">
        <v>15</v>
      </c>
      <c r="E20">
        <v>7185.3</v>
      </c>
      <c r="F20">
        <v>7735.42</v>
      </c>
      <c r="G20">
        <v>113245</v>
      </c>
      <c r="H20">
        <v>4048</v>
      </c>
      <c r="I20">
        <v>620</v>
      </c>
      <c r="J20">
        <v>14045.96</v>
      </c>
    </row>
    <row r="21" spans="1:10">
      <c r="A21" t="s">
        <v>38</v>
      </c>
      <c r="B21" s="15">
        <v>45669</v>
      </c>
      <c r="C21" t="s">
        <v>11</v>
      </c>
      <c r="D21" t="s">
        <v>17</v>
      </c>
      <c r="E21">
        <v>4371.88</v>
      </c>
      <c r="F21">
        <v>3556.82</v>
      </c>
      <c r="G21">
        <v>134800</v>
      </c>
      <c r="H21">
        <v>4917</v>
      </c>
      <c r="I21">
        <v>128</v>
      </c>
      <c r="J21">
        <v>3809.27</v>
      </c>
    </row>
    <row r="22" spans="1:10">
      <c r="A22" t="s">
        <v>39</v>
      </c>
      <c r="B22" s="15">
        <v>45814</v>
      </c>
      <c r="C22" t="s">
        <v>11</v>
      </c>
      <c r="D22" t="s">
        <v>12</v>
      </c>
      <c r="E22">
        <v>5720.74</v>
      </c>
      <c r="F22">
        <v>5042.29</v>
      </c>
      <c r="G22">
        <v>128160</v>
      </c>
      <c r="H22">
        <v>1491</v>
      </c>
      <c r="I22">
        <v>279</v>
      </c>
      <c r="J22">
        <v>12516.53</v>
      </c>
    </row>
    <row r="23" spans="1:10">
      <c r="A23" t="s">
        <v>40</v>
      </c>
      <c r="B23" s="15">
        <v>45784</v>
      </c>
      <c r="C23" t="s">
        <v>24</v>
      </c>
      <c r="D23" t="s">
        <v>20</v>
      </c>
      <c r="E23">
        <v>5497.27</v>
      </c>
      <c r="F23">
        <v>4861.13</v>
      </c>
      <c r="G23">
        <v>156949</v>
      </c>
      <c r="H23">
        <v>1762</v>
      </c>
      <c r="I23">
        <v>304</v>
      </c>
      <c r="J23">
        <v>11029.39</v>
      </c>
    </row>
    <row r="24" spans="1:10">
      <c r="A24" t="s">
        <v>41</v>
      </c>
      <c r="B24" s="15">
        <v>45810</v>
      </c>
      <c r="C24" t="s">
        <v>14</v>
      </c>
      <c r="D24" t="s">
        <v>20</v>
      </c>
      <c r="E24">
        <v>3986.47</v>
      </c>
      <c r="F24">
        <v>4148.56</v>
      </c>
      <c r="G24">
        <v>138676</v>
      </c>
      <c r="H24">
        <v>4683</v>
      </c>
      <c r="I24">
        <v>91</v>
      </c>
      <c r="J24">
        <v>2023.52</v>
      </c>
    </row>
    <row r="25" spans="1:10">
      <c r="A25" t="s">
        <v>42</v>
      </c>
      <c r="B25" s="15">
        <v>45766</v>
      </c>
      <c r="C25" t="s">
        <v>24</v>
      </c>
      <c r="D25" t="s">
        <v>15</v>
      </c>
      <c r="E25">
        <v>9908.21</v>
      </c>
      <c r="F25">
        <v>10222.04</v>
      </c>
      <c r="G25">
        <v>133918</v>
      </c>
      <c r="H25">
        <v>4771</v>
      </c>
      <c r="I25">
        <v>266</v>
      </c>
      <c r="J25">
        <v>6905.75</v>
      </c>
    </row>
    <row r="26" spans="1:10">
      <c r="A26" t="s">
        <v>43</v>
      </c>
      <c r="B26" s="15">
        <v>45703</v>
      </c>
      <c r="C26" t="s">
        <v>19</v>
      </c>
      <c r="D26" t="s">
        <v>12</v>
      </c>
      <c r="E26">
        <v>3038.65</v>
      </c>
      <c r="F26">
        <v>3174.29</v>
      </c>
      <c r="G26">
        <v>116892</v>
      </c>
      <c r="H26">
        <v>1613</v>
      </c>
      <c r="I26">
        <v>73</v>
      </c>
      <c r="J26">
        <v>3008.02</v>
      </c>
    </row>
    <row r="27" spans="1:10">
      <c r="A27" t="s">
        <v>44</v>
      </c>
      <c r="B27" s="15">
        <v>45753</v>
      </c>
      <c r="C27" t="s">
        <v>14</v>
      </c>
      <c r="D27" t="s">
        <v>20</v>
      </c>
      <c r="E27">
        <v>8103.05</v>
      </c>
      <c r="F27">
        <v>8357.33</v>
      </c>
      <c r="G27">
        <v>187598</v>
      </c>
      <c r="H27">
        <v>7514</v>
      </c>
      <c r="I27">
        <v>1465</v>
      </c>
      <c r="J27">
        <v>32554.26</v>
      </c>
    </row>
    <row r="28" spans="1:10">
      <c r="A28" t="s">
        <v>45</v>
      </c>
      <c r="B28" s="15">
        <v>45721</v>
      </c>
      <c r="C28" t="s">
        <v>22</v>
      </c>
      <c r="D28" t="s">
        <v>20</v>
      </c>
      <c r="E28">
        <v>5509.26</v>
      </c>
      <c r="F28">
        <v>4598.91</v>
      </c>
      <c r="G28">
        <v>145792</v>
      </c>
      <c r="H28">
        <v>2973</v>
      </c>
      <c r="I28">
        <v>495</v>
      </c>
      <c r="J28">
        <v>22717.09</v>
      </c>
    </row>
    <row r="29" spans="1:10">
      <c r="A29" t="s">
        <v>46</v>
      </c>
      <c r="B29" s="15">
        <v>45809</v>
      </c>
      <c r="C29" t="s">
        <v>14</v>
      </c>
      <c r="D29" t="s">
        <v>12</v>
      </c>
      <c r="E29">
        <v>7363.09</v>
      </c>
      <c r="F29">
        <v>6621.4</v>
      </c>
      <c r="G29">
        <v>144942</v>
      </c>
      <c r="H29">
        <v>5511</v>
      </c>
      <c r="I29">
        <v>222</v>
      </c>
      <c r="J29">
        <v>4863.3</v>
      </c>
    </row>
    <row r="30" spans="1:10">
      <c r="A30" t="s">
        <v>47</v>
      </c>
      <c r="B30" s="15">
        <v>45809</v>
      </c>
      <c r="C30" t="s">
        <v>22</v>
      </c>
      <c r="D30" t="s">
        <v>20</v>
      </c>
      <c r="E30">
        <v>5176.88</v>
      </c>
      <c r="F30">
        <v>4646.53</v>
      </c>
      <c r="G30">
        <v>81620</v>
      </c>
      <c r="H30">
        <v>3629</v>
      </c>
      <c r="I30">
        <v>513</v>
      </c>
      <c r="J30">
        <v>21488.64</v>
      </c>
    </row>
    <row r="31" spans="1:10">
      <c r="A31" t="s">
        <v>48</v>
      </c>
      <c r="B31" s="15">
        <v>45679</v>
      </c>
      <c r="C31" t="s">
        <v>11</v>
      </c>
      <c r="D31" t="s">
        <v>15</v>
      </c>
      <c r="E31">
        <v>7462.9</v>
      </c>
      <c r="F31">
        <v>7956.67</v>
      </c>
      <c r="G31">
        <v>73683</v>
      </c>
      <c r="H31">
        <v>2259</v>
      </c>
      <c r="I31">
        <v>324</v>
      </c>
      <c r="J31">
        <v>11069.93</v>
      </c>
    </row>
    <row r="32" spans="1:10">
      <c r="A32" t="s">
        <v>49</v>
      </c>
      <c r="B32" s="15">
        <v>45768</v>
      </c>
      <c r="C32" t="s">
        <v>11</v>
      </c>
      <c r="D32" t="s">
        <v>17</v>
      </c>
      <c r="E32">
        <v>3837.16</v>
      </c>
      <c r="F32">
        <v>3890.78</v>
      </c>
      <c r="G32">
        <v>69783</v>
      </c>
      <c r="H32">
        <v>2886</v>
      </c>
      <c r="I32">
        <v>227</v>
      </c>
      <c r="J32">
        <v>9720.95</v>
      </c>
    </row>
    <row r="33" spans="1:10">
      <c r="A33" t="s">
        <v>50</v>
      </c>
      <c r="B33" s="15">
        <v>45802</v>
      </c>
      <c r="C33" t="s">
        <v>22</v>
      </c>
      <c r="D33" t="s">
        <v>15</v>
      </c>
      <c r="E33">
        <v>6928.94</v>
      </c>
      <c r="F33">
        <v>7145.75</v>
      </c>
      <c r="G33">
        <v>154773</v>
      </c>
      <c r="H33">
        <v>2350</v>
      </c>
      <c r="I33">
        <v>389</v>
      </c>
      <c r="J33">
        <v>13542.59</v>
      </c>
    </row>
    <row r="34" spans="1:10">
      <c r="A34" t="s">
        <v>51</v>
      </c>
      <c r="B34" s="15">
        <v>45711</v>
      </c>
      <c r="C34" t="s">
        <v>24</v>
      </c>
      <c r="D34" t="s">
        <v>12</v>
      </c>
      <c r="E34">
        <v>6659.13</v>
      </c>
      <c r="F34">
        <v>6181.42</v>
      </c>
      <c r="G34">
        <v>69731</v>
      </c>
      <c r="H34">
        <v>2872</v>
      </c>
      <c r="I34">
        <v>455</v>
      </c>
      <c r="J34">
        <v>9446.97</v>
      </c>
    </row>
    <row r="35" spans="1:10">
      <c r="A35" t="s">
        <v>52</v>
      </c>
      <c r="B35" s="15">
        <v>45690</v>
      </c>
      <c r="C35" t="s">
        <v>22</v>
      </c>
      <c r="D35" t="s">
        <v>15</v>
      </c>
      <c r="E35">
        <v>3755.24</v>
      </c>
      <c r="F35">
        <v>3039.6</v>
      </c>
      <c r="G35">
        <v>188839</v>
      </c>
      <c r="H35">
        <v>7836</v>
      </c>
      <c r="I35">
        <v>1477</v>
      </c>
      <c r="J35">
        <v>57739.35</v>
      </c>
    </row>
    <row r="36" spans="1:10">
      <c r="A36" t="s">
        <v>53</v>
      </c>
      <c r="B36" s="15">
        <v>45653</v>
      </c>
      <c r="C36" t="s">
        <v>19</v>
      </c>
      <c r="D36" t="s">
        <v>17</v>
      </c>
      <c r="E36">
        <v>5200.49</v>
      </c>
      <c r="F36">
        <v>4953.84</v>
      </c>
      <c r="G36">
        <v>146830</v>
      </c>
      <c r="H36">
        <v>6778</v>
      </c>
      <c r="I36">
        <v>787</v>
      </c>
      <c r="J36">
        <v>37167.64</v>
      </c>
    </row>
    <row r="37" spans="1:10">
      <c r="A37" t="s">
        <v>54</v>
      </c>
      <c r="B37" s="15">
        <v>45755</v>
      </c>
      <c r="C37" t="s">
        <v>24</v>
      </c>
      <c r="D37" t="s">
        <v>12</v>
      </c>
      <c r="E37">
        <v>4745.05</v>
      </c>
      <c r="F37">
        <v>4380.23</v>
      </c>
      <c r="G37">
        <v>114426</v>
      </c>
      <c r="H37">
        <v>4726</v>
      </c>
      <c r="I37">
        <v>77</v>
      </c>
      <c r="J37">
        <v>3285.32</v>
      </c>
    </row>
    <row r="38" spans="1:10">
      <c r="A38" t="s">
        <v>55</v>
      </c>
      <c r="B38" s="15">
        <v>45701</v>
      </c>
      <c r="C38" t="s">
        <v>14</v>
      </c>
      <c r="D38" t="s">
        <v>17</v>
      </c>
      <c r="E38">
        <v>4601.59</v>
      </c>
      <c r="F38">
        <v>3787.54</v>
      </c>
      <c r="G38">
        <v>78896</v>
      </c>
      <c r="H38">
        <v>1812</v>
      </c>
      <c r="I38">
        <v>219</v>
      </c>
      <c r="J38">
        <v>6283.67</v>
      </c>
    </row>
    <row r="39" spans="1:10">
      <c r="A39" t="s">
        <v>56</v>
      </c>
      <c r="B39" s="15">
        <v>45759</v>
      </c>
      <c r="C39" t="s">
        <v>19</v>
      </c>
      <c r="D39" t="s">
        <v>20</v>
      </c>
      <c r="E39">
        <v>4128.55</v>
      </c>
      <c r="F39">
        <v>4454.33</v>
      </c>
      <c r="G39">
        <v>114833</v>
      </c>
      <c r="H39">
        <v>5099</v>
      </c>
      <c r="I39">
        <v>70</v>
      </c>
      <c r="J39">
        <v>3097.05</v>
      </c>
    </row>
    <row r="40" spans="1:10">
      <c r="A40" t="s">
        <v>57</v>
      </c>
      <c r="B40" s="15">
        <v>45722</v>
      </c>
      <c r="C40" t="s">
        <v>14</v>
      </c>
      <c r="D40" t="s">
        <v>17</v>
      </c>
      <c r="E40">
        <v>7433.83</v>
      </c>
      <c r="F40">
        <v>7890.55</v>
      </c>
      <c r="G40">
        <v>86560</v>
      </c>
      <c r="H40">
        <v>3682</v>
      </c>
      <c r="I40">
        <v>609</v>
      </c>
      <c r="J40">
        <v>26863.09</v>
      </c>
    </row>
    <row r="41" spans="1:10">
      <c r="A41" t="s">
        <v>58</v>
      </c>
      <c r="B41" s="15">
        <v>45748</v>
      </c>
      <c r="C41" t="s">
        <v>19</v>
      </c>
      <c r="D41" t="s">
        <v>17</v>
      </c>
      <c r="E41">
        <v>4305.99</v>
      </c>
      <c r="F41">
        <v>4597.8</v>
      </c>
      <c r="G41">
        <v>74753</v>
      </c>
      <c r="H41">
        <v>1230</v>
      </c>
      <c r="I41">
        <v>234</v>
      </c>
      <c r="J41">
        <v>8466.18</v>
      </c>
    </row>
    <row r="42" spans="1:10">
      <c r="A42" t="s">
        <v>59</v>
      </c>
      <c r="B42" s="15">
        <v>45701</v>
      </c>
      <c r="C42" t="s">
        <v>24</v>
      </c>
      <c r="D42" t="s">
        <v>20</v>
      </c>
      <c r="E42">
        <v>8652.08</v>
      </c>
      <c r="F42">
        <v>9247.58</v>
      </c>
      <c r="G42">
        <v>177534</v>
      </c>
      <c r="H42">
        <v>2754</v>
      </c>
      <c r="I42">
        <v>206</v>
      </c>
      <c r="J42">
        <v>6085.26</v>
      </c>
    </row>
    <row r="43" spans="1:10">
      <c r="A43" t="s">
        <v>60</v>
      </c>
      <c r="B43" s="15">
        <v>45671</v>
      </c>
      <c r="C43" t="s">
        <v>19</v>
      </c>
      <c r="D43" t="s">
        <v>17</v>
      </c>
      <c r="E43">
        <v>3770.36</v>
      </c>
      <c r="F43">
        <v>3274.11</v>
      </c>
      <c r="G43">
        <v>179996</v>
      </c>
      <c r="H43">
        <v>8814</v>
      </c>
      <c r="I43">
        <v>1350</v>
      </c>
      <c r="J43">
        <v>44297.87</v>
      </c>
    </row>
    <row r="44" spans="1:10">
      <c r="A44" t="s">
        <v>61</v>
      </c>
      <c r="B44" s="15">
        <v>45642</v>
      </c>
      <c r="C44" t="s">
        <v>19</v>
      </c>
      <c r="D44" t="s">
        <v>12</v>
      </c>
      <c r="E44">
        <v>8726.1</v>
      </c>
      <c r="F44">
        <v>9234.13</v>
      </c>
      <c r="G44">
        <v>169629</v>
      </c>
      <c r="H44">
        <v>5933</v>
      </c>
      <c r="I44">
        <v>149</v>
      </c>
      <c r="J44">
        <v>3011.08</v>
      </c>
    </row>
    <row r="45" spans="1:10">
      <c r="A45" t="s">
        <v>62</v>
      </c>
      <c r="B45" s="15">
        <v>45763</v>
      </c>
      <c r="C45" t="s">
        <v>22</v>
      </c>
      <c r="D45" t="s">
        <v>12</v>
      </c>
      <c r="E45">
        <v>6575.23</v>
      </c>
      <c r="F45">
        <v>6083.56</v>
      </c>
      <c r="G45">
        <v>103534</v>
      </c>
      <c r="H45">
        <v>3406</v>
      </c>
      <c r="I45">
        <v>219</v>
      </c>
      <c r="J45">
        <v>5839.25</v>
      </c>
    </row>
    <row r="46" spans="1:10">
      <c r="A46" t="s">
        <v>63</v>
      </c>
      <c r="B46" s="15">
        <v>45785</v>
      </c>
      <c r="C46" t="s">
        <v>19</v>
      </c>
      <c r="D46" t="s">
        <v>15</v>
      </c>
      <c r="E46">
        <v>3839.06</v>
      </c>
      <c r="F46">
        <v>3460.09</v>
      </c>
      <c r="G46">
        <v>157185</v>
      </c>
      <c r="H46">
        <v>1409</v>
      </c>
      <c r="I46">
        <v>97</v>
      </c>
      <c r="J46">
        <v>4683.87</v>
      </c>
    </row>
    <row r="47" spans="1:10">
      <c r="A47" t="s">
        <v>64</v>
      </c>
      <c r="B47" s="15">
        <v>45797</v>
      </c>
      <c r="C47" t="s">
        <v>19</v>
      </c>
      <c r="D47" t="s">
        <v>15</v>
      </c>
      <c r="E47">
        <v>5262.42</v>
      </c>
      <c r="F47">
        <v>5028.96</v>
      </c>
      <c r="G47">
        <v>114793</v>
      </c>
      <c r="H47">
        <v>4639</v>
      </c>
      <c r="I47">
        <v>463</v>
      </c>
      <c r="J47">
        <v>19024.93</v>
      </c>
    </row>
    <row r="48" spans="1:10">
      <c r="A48" t="s">
        <v>65</v>
      </c>
      <c r="B48" s="15">
        <v>45662</v>
      </c>
      <c r="C48" t="s">
        <v>11</v>
      </c>
      <c r="D48" t="s">
        <v>20</v>
      </c>
      <c r="E48">
        <v>5545.41</v>
      </c>
      <c r="F48">
        <v>6053.01</v>
      </c>
      <c r="G48">
        <v>175219</v>
      </c>
      <c r="H48">
        <v>4802</v>
      </c>
      <c r="I48">
        <v>292</v>
      </c>
      <c r="J48">
        <v>14271.04</v>
      </c>
    </row>
    <row r="49" spans="1:10">
      <c r="A49" t="s">
        <v>66</v>
      </c>
      <c r="B49" s="15">
        <v>45726</v>
      </c>
      <c r="C49" t="s">
        <v>19</v>
      </c>
      <c r="D49" t="s">
        <v>17</v>
      </c>
      <c r="E49">
        <v>4762.48</v>
      </c>
      <c r="F49">
        <v>4520.42</v>
      </c>
      <c r="G49">
        <v>100064</v>
      </c>
      <c r="H49">
        <v>1424</v>
      </c>
      <c r="I49">
        <v>261</v>
      </c>
      <c r="J49">
        <v>7575.88</v>
      </c>
    </row>
    <row r="50" spans="1:10">
      <c r="A50" t="s">
        <v>67</v>
      </c>
      <c r="B50" s="15">
        <v>45693</v>
      </c>
      <c r="C50" t="s">
        <v>14</v>
      </c>
      <c r="D50" t="s">
        <v>17</v>
      </c>
      <c r="E50">
        <v>4993.88</v>
      </c>
      <c r="F50">
        <v>4050.37</v>
      </c>
      <c r="G50">
        <v>61208</v>
      </c>
      <c r="H50">
        <v>3037</v>
      </c>
      <c r="I50">
        <v>504</v>
      </c>
      <c r="J50">
        <v>19296.61</v>
      </c>
    </row>
    <row r="51" spans="1:10">
      <c r="A51" t="s">
        <v>68</v>
      </c>
      <c r="B51" s="15">
        <v>45806</v>
      </c>
      <c r="C51" t="s">
        <v>22</v>
      </c>
      <c r="D51" t="s">
        <v>17</v>
      </c>
      <c r="E51">
        <v>6518.75</v>
      </c>
      <c r="F51">
        <v>5315.67</v>
      </c>
      <c r="G51">
        <v>64306</v>
      </c>
      <c r="H51">
        <v>2956</v>
      </c>
      <c r="I51">
        <v>50</v>
      </c>
      <c r="J51">
        <v>1417.97</v>
      </c>
    </row>
    <row r="52" spans="1:10">
      <c r="A52" t="s">
        <v>69</v>
      </c>
      <c r="B52" s="15">
        <v>45780</v>
      </c>
      <c r="C52" t="s">
        <v>22</v>
      </c>
      <c r="D52" t="s">
        <v>15</v>
      </c>
      <c r="E52">
        <v>9357.86</v>
      </c>
      <c r="F52">
        <v>8158.82</v>
      </c>
      <c r="G52">
        <v>160805</v>
      </c>
      <c r="H52">
        <v>1964</v>
      </c>
      <c r="I52">
        <v>323</v>
      </c>
      <c r="J52">
        <v>7864.03</v>
      </c>
    </row>
    <row r="53" spans="1:10">
      <c r="A53" t="s">
        <v>70</v>
      </c>
      <c r="B53" s="15">
        <v>45727</v>
      </c>
      <c r="C53" t="s">
        <v>19</v>
      </c>
      <c r="D53" t="s">
        <v>15</v>
      </c>
      <c r="E53">
        <v>6426.17</v>
      </c>
      <c r="F53">
        <v>7041.12</v>
      </c>
      <c r="G53">
        <v>169372</v>
      </c>
      <c r="H53">
        <v>2478</v>
      </c>
      <c r="I53">
        <v>264</v>
      </c>
      <c r="J53">
        <v>7197.08</v>
      </c>
    </row>
    <row r="54" spans="1:10">
      <c r="A54" t="s">
        <v>71</v>
      </c>
      <c r="B54" s="15">
        <v>45667</v>
      </c>
      <c r="C54" t="s">
        <v>14</v>
      </c>
      <c r="D54" t="s">
        <v>15</v>
      </c>
      <c r="E54">
        <v>7704.95</v>
      </c>
      <c r="F54">
        <v>7924.43</v>
      </c>
      <c r="G54">
        <v>77537</v>
      </c>
      <c r="H54">
        <v>3060</v>
      </c>
      <c r="I54">
        <v>221</v>
      </c>
      <c r="J54">
        <v>5995.54</v>
      </c>
    </row>
    <row r="55" spans="1:10">
      <c r="A55" t="s">
        <v>72</v>
      </c>
      <c r="B55" s="15">
        <v>45682</v>
      </c>
      <c r="C55" t="s">
        <v>19</v>
      </c>
      <c r="D55" t="s">
        <v>12</v>
      </c>
      <c r="E55">
        <v>8097.51</v>
      </c>
      <c r="F55">
        <v>7371.45</v>
      </c>
      <c r="G55">
        <v>111631</v>
      </c>
      <c r="H55">
        <v>2469</v>
      </c>
      <c r="I55">
        <v>139</v>
      </c>
      <c r="J55">
        <v>5416.72</v>
      </c>
    </row>
    <row r="56" spans="1:10">
      <c r="A56" t="s">
        <v>73</v>
      </c>
      <c r="B56" s="15">
        <v>45674</v>
      </c>
      <c r="C56" t="s">
        <v>11</v>
      </c>
      <c r="D56" t="s">
        <v>12</v>
      </c>
      <c r="E56">
        <v>7434.71</v>
      </c>
      <c r="F56">
        <v>7142.77</v>
      </c>
      <c r="G56">
        <v>102718</v>
      </c>
      <c r="H56">
        <v>2206</v>
      </c>
      <c r="I56">
        <v>152</v>
      </c>
      <c r="J56">
        <v>3451.72</v>
      </c>
    </row>
    <row r="57" spans="1:10">
      <c r="A57" t="s">
        <v>74</v>
      </c>
      <c r="B57" s="15">
        <v>45684</v>
      </c>
      <c r="C57" t="s">
        <v>22</v>
      </c>
      <c r="D57" t="s">
        <v>12</v>
      </c>
      <c r="E57">
        <v>8847.12</v>
      </c>
      <c r="F57">
        <v>7929.09</v>
      </c>
      <c r="G57">
        <v>79647</v>
      </c>
      <c r="H57">
        <v>2287</v>
      </c>
      <c r="I57">
        <v>311</v>
      </c>
      <c r="J57">
        <v>7960.22</v>
      </c>
    </row>
    <row r="58" spans="1:10">
      <c r="A58" t="s">
        <v>75</v>
      </c>
      <c r="B58" s="15">
        <v>45704</v>
      </c>
      <c r="C58" t="s">
        <v>14</v>
      </c>
      <c r="D58" t="s">
        <v>17</v>
      </c>
      <c r="E58">
        <v>3285.43</v>
      </c>
      <c r="F58">
        <v>3210.75</v>
      </c>
      <c r="G58">
        <v>155333</v>
      </c>
      <c r="H58">
        <v>2501</v>
      </c>
      <c r="I58">
        <v>402</v>
      </c>
      <c r="J58">
        <v>16211.43</v>
      </c>
    </row>
    <row r="59" spans="1:10">
      <c r="A59" t="s">
        <v>76</v>
      </c>
      <c r="B59" s="15">
        <v>45772</v>
      </c>
      <c r="C59" t="s">
        <v>22</v>
      </c>
      <c r="D59" t="s">
        <v>12</v>
      </c>
      <c r="E59">
        <v>3116.11</v>
      </c>
      <c r="F59">
        <v>2971.61</v>
      </c>
      <c r="G59">
        <v>81389</v>
      </c>
      <c r="H59">
        <v>3140</v>
      </c>
      <c r="I59">
        <v>392</v>
      </c>
      <c r="J59">
        <v>10503.59</v>
      </c>
    </row>
    <row r="60" spans="1:10">
      <c r="A60" t="s">
        <v>77</v>
      </c>
      <c r="B60" s="15">
        <v>45769</v>
      </c>
      <c r="C60" t="s">
        <v>24</v>
      </c>
      <c r="D60" t="s">
        <v>17</v>
      </c>
      <c r="E60">
        <v>7516.21</v>
      </c>
      <c r="F60">
        <v>6406.14</v>
      </c>
      <c r="G60">
        <v>146743</v>
      </c>
      <c r="H60">
        <v>3193</v>
      </c>
      <c r="I60">
        <v>385</v>
      </c>
      <c r="J60">
        <v>15680.33</v>
      </c>
    </row>
    <row r="61" spans="1:10">
      <c r="A61" t="s">
        <v>78</v>
      </c>
      <c r="B61" s="15">
        <v>45747</v>
      </c>
      <c r="C61" t="s">
        <v>22</v>
      </c>
      <c r="D61" t="s">
        <v>17</v>
      </c>
      <c r="E61">
        <v>5707.15</v>
      </c>
      <c r="F61">
        <v>6169.54</v>
      </c>
      <c r="G61">
        <v>121778</v>
      </c>
      <c r="H61">
        <v>2381</v>
      </c>
      <c r="I61">
        <v>316</v>
      </c>
      <c r="J61">
        <v>7623.7</v>
      </c>
    </row>
    <row r="62" spans="1:10">
      <c r="A62" t="s">
        <v>79</v>
      </c>
      <c r="B62" s="15">
        <v>45645</v>
      </c>
      <c r="C62" t="s">
        <v>14</v>
      </c>
      <c r="D62" t="s">
        <v>12</v>
      </c>
      <c r="E62">
        <v>5387.46</v>
      </c>
      <c r="F62">
        <v>4493.37</v>
      </c>
      <c r="G62">
        <v>145652</v>
      </c>
      <c r="H62">
        <v>3086</v>
      </c>
      <c r="I62">
        <v>536</v>
      </c>
      <c r="J62">
        <v>25589.07</v>
      </c>
    </row>
    <row r="63" spans="1:10">
      <c r="A63" t="s">
        <v>80</v>
      </c>
      <c r="B63" s="15">
        <v>45710</v>
      </c>
      <c r="C63" t="s">
        <v>14</v>
      </c>
      <c r="D63" t="s">
        <v>15</v>
      </c>
      <c r="E63">
        <v>9141.38</v>
      </c>
      <c r="F63">
        <v>8020.49</v>
      </c>
      <c r="G63">
        <v>80391</v>
      </c>
      <c r="H63">
        <v>1900</v>
      </c>
      <c r="I63">
        <v>189</v>
      </c>
      <c r="J63">
        <v>7522.11</v>
      </c>
    </row>
    <row r="64" spans="1:10">
      <c r="A64" t="s">
        <v>81</v>
      </c>
      <c r="B64" s="15">
        <v>45717</v>
      </c>
      <c r="C64" t="s">
        <v>19</v>
      </c>
      <c r="D64" t="s">
        <v>12</v>
      </c>
      <c r="E64">
        <v>8720.56</v>
      </c>
      <c r="F64">
        <v>8428.95</v>
      </c>
      <c r="G64">
        <v>136864</v>
      </c>
      <c r="H64">
        <v>3696</v>
      </c>
      <c r="I64">
        <v>599</v>
      </c>
      <c r="J64">
        <v>21497.82</v>
      </c>
    </row>
    <row r="65" spans="1:10">
      <c r="A65" t="s">
        <v>82</v>
      </c>
      <c r="B65" s="15">
        <v>45805</v>
      </c>
      <c r="C65" t="s">
        <v>19</v>
      </c>
      <c r="D65" t="s">
        <v>15</v>
      </c>
      <c r="E65">
        <v>4692.97</v>
      </c>
      <c r="F65">
        <v>3885.45</v>
      </c>
      <c r="G65">
        <v>135649</v>
      </c>
      <c r="H65">
        <v>5567</v>
      </c>
      <c r="I65">
        <v>914</v>
      </c>
      <c r="J65">
        <v>42881.66</v>
      </c>
    </row>
    <row r="66" spans="1:10">
      <c r="A66" t="s">
        <v>83</v>
      </c>
      <c r="B66" s="15">
        <v>45734</v>
      </c>
      <c r="C66" t="s">
        <v>22</v>
      </c>
      <c r="D66" t="s">
        <v>17</v>
      </c>
      <c r="E66">
        <v>9302.93</v>
      </c>
      <c r="F66">
        <v>9209.25</v>
      </c>
      <c r="G66">
        <v>75522</v>
      </c>
      <c r="H66">
        <v>1938</v>
      </c>
      <c r="I66">
        <v>231</v>
      </c>
      <c r="J66">
        <v>6969.48</v>
      </c>
    </row>
    <row r="67" spans="1:10">
      <c r="A67" t="s">
        <v>84</v>
      </c>
      <c r="B67" s="15">
        <v>45654</v>
      </c>
      <c r="C67" t="s">
        <v>22</v>
      </c>
      <c r="D67" t="s">
        <v>17</v>
      </c>
      <c r="E67">
        <v>5444.47</v>
      </c>
      <c r="F67">
        <v>5541.31</v>
      </c>
      <c r="G67">
        <v>180933</v>
      </c>
      <c r="H67">
        <v>2435</v>
      </c>
      <c r="I67">
        <v>256</v>
      </c>
      <c r="J67">
        <v>12009.81</v>
      </c>
    </row>
    <row r="68" spans="1:10">
      <c r="A68" t="s">
        <v>85</v>
      </c>
      <c r="B68" s="15">
        <v>45757</v>
      </c>
      <c r="C68" t="s">
        <v>24</v>
      </c>
      <c r="D68" t="s">
        <v>15</v>
      </c>
      <c r="E68">
        <v>9209.6</v>
      </c>
      <c r="F68">
        <v>9522.38</v>
      </c>
      <c r="G68">
        <v>130681</v>
      </c>
      <c r="H68">
        <v>5935</v>
      </c>
      <c r="I68">
        <v>667</v>
      </c>
      <c r="J68">
        <v>26187.05</v>
      </c>
    </row>
    <row r="69" spans="1:10">
      <c r="A69" t="s">
        <v>86</v>
      </c>
      <c r="B69" s="15">
        <v>45687</v>
      </c>
      <c r="C69" t="s">
        <v>14</v>
      </c>
      <c r="D69" t="s">
        <v>15</v>
      </c>
      <c r="E69">
        <v>3588.98</v>
      </c>
      <c r="F69">
        <v>3045.21</v>
      </c>
      <c r="G69">
        <v>162389</v>
      </c>
      <c r="H69">
        <v>4500</v>
      </c>
      <c r="I69">
        <v>742</v>
      </c>
      <c r="J69">
        <v>34841.82</v>
      </c>
    </row>
    <row r="70" spans="1:10">
      <c r="A70" t="s">
        <v>87</v>
      </c>
      <c r="B70" s="15">
        <v>45802</v>
      </c>
      <c r="C70" t="s">
        <v>19</v>
      </c>
      <c r="D70" t="s">
        <v>12</v>
      </c>
      <c r="E70">
        <v>7245</v>
      </c>
      <c r="F70">
        <v>5815.99</v>
      </c>
      <c r="G70">
        <v>94836</v>
      </c>
      <c r="H70">
        <v>3956</v>
      </c>
      <c r="I70">
        <v>181</v>
      </c>
      <c r="J70">
        <v>4170.99</v>
      </c>
    </row>
    <row r="71" spans="1:10">
      <c r="A71" t="s">
        <v>88</v>
      </c>
      <c r="B71" s="15">
        <v>45698</v>
      </c>
      <c r="C71" t="s">
        <v>14</v>
      </c>
      <c r="D71" t="s">
        <v>20</v>
      </c>
      <c r="E71">
        <v>7644.51</v>
      </c>
      <c r="F71">
        <v>6127.22</v>
      </c>
      <c r="G71">
        <v>191486</v>
      </c>
      <c r="H71">
        <v>4445</v>
      </c>
      <c r="I71">
        <v>80</v>
      </c>
      <c r="J71">
        <v>1985.94</v>
      </c>
    </row>
    <row r="72" spans="1:10">
      <c r="A72" t="s">
        <v>89</v>
      </c>
      <c r="B72" s="15">
        <v>45724</v>
      </c>
      <c r="C72" t="s">
        <v>24</v>
      </c>
      <c r="D72" t="s">
        <v>20</v>
      </c>
      <c r="E72">
        <v>6841.14</v>
      </c>
      <c r="F72">
        <v>6892.92</v>
      </c>
      <c r="G72">
        <v>138384</v>
      </c>
      <c r="H72">
        <v>3042</v>
      </c>
      <c r="I72">
        <v>323</v>
      </c>
      <c r="J72">
        <v>12777.5</v>
      </c>
    </row>
    <row r="73" spans="1:10">
      <c r="A73" t="s">
        <v>90</v>
      </c>
      <c r="B73" s="15">
        <v>45785</v>
      </c>
      <c r="C73" t="s">
        <v>22</v>
      </c>
      <c r="D73" t="s">
        <v>17</v>
      </c>
      <c r="E73">
        <v>4569.89</v>
      </c>
      <c r="F73">
        <v>4632.29</v>
      </c>
      <c r="G73">
        <v>72528</v>
      </c>
      <c r="H73">
        <v>1306</v>
      </c>
      <c r="I73">
        <v>139</v>
      </c>
      <c r="J73">
        <v>3769.33</v>
      </c>
    </row>
    <row r="74" spans="1:10">
      <c r="A74" t="s">
        <v>91</v>
      </c>
      <c r="B74" s="15">
        <v>45712</v>
      </c>
      <c r="C74" t="s">
        <v>24</v>
      </c>
      <c r="D74" t="s">
        <v>20</v>
      </c>
      <c r="E74">
        <v>5277.8</v>
      </c>
      <c r="F74">
        <v>5404.19</v>
      </c>
      <c r="G74">
        <v>173181</v>
      </c>
      <c r="H74">
        <v>6365</v>
      </c>
      <c r="I74">
        <v>651</v>
      </c>
      <c r="J74">
        <v>25707.33</v>
      </c>
    </row>
    <row r="75" spans="1:10">
      <c r="A75" t="s">
        <v>92</v>
      </c>
      <c r="B75" s="15">
        <v>45674</v>
      </c>
      <c r="C75" t="s">
        <v>14</v>
      </c>
      <c r="D75" t="s">
        <v>17</v>
      </c>
      <c r="E75">
        <v>8944.56</v>
      </c>
      <c r="F75">
        <v>8920.27</v>
      </c>
      <c r="G75">
        <v>107709</v>
      </c>
      <c r="H75">
        <v>2586</v>
      </c>
      <c r="I75">
        <v>314</v>
      </c>
      <c r="J75">
        <v>11633.47</v>
      </c>
    </row>
    <row r="76" spans="1:10">
      <c r="A76" t="s">
        <v>93</v>
      </c>
      <c r="B76" s="15">
        <v>45757</v>
      </c>
      <c r="C76" t="s">
        <v>19</v>
      </c>
      <c r="D76" t="s">
        <v>15</v>
      </c>
      <c r="E76">
        <v>3655.72</v>
      </c>
      <c r="F76">
        <v>3327.86</v>
      </c>
      <c r="G76">
        <v>86473</v>
      </c>
      <c r="H76">
        <v>2750</v>
      </c>
      <c r="I76">
        <v>491</v>
      </c>
      <c r="J76">
        <v>13726.43</v>
      </c>
    </row>
    <row r="77" spans="1:10">
      <c r="A77" t="s">
        <v>94</v>
      </c>
      <c r="B77" s="15">
        <v>45818</v>
      </c>
      <c r="C77" t="s">
        <v>24</v>
      </c>
      <c r="D77" t="s">
        <v>17</v>
      </c>
      <c r="E77">
        <v>4707.93</v>
      </c>
      <c r="F77">
        <v>5140.6</v>
      </c>
      <c r="G77">
        <v>94803</v>
      </c>
      <c r="H77">
        <v>2004</v>
      </c>
      <c r="I77">
        <v>320</v>
      </c>
      <c r="J77">
        <v>10173.74</v>
      </c>
    </row>
    <row r="78" spans="1:10">
      <c r="A78" t="s">
        <v>95</v>
      </c>
      <c r="B78" s="15">
        <v>45636</v>
      </c>
      <c r="C78" t="s">
        <v>19</v>
      </c>
      <c r="D78" t="s">
        <v>12</v>
      </c>
      <c r="E78">
        <v>9244.33</v>
      </c>
      <c r="F78">
        <v>9145.8</v>
      </c>
      <c r="G78">
        <v>55244</v>
      </c>
      <c r="H78">
        <v>2028</v>
      </c>
      <c r="I78">
        <v>320</v>
      </c>
      <c r="J78">
        <v>14030.19</v>
      </c>
    </row>
    <row r="79" spans="1:10">
      <c r="A79" t="s">
        <v>96</v>
      </c>
      <c r="B79" s="15">
        <v>45713</v>
      </c>
      <c r="C79" t="s">
        <v>11</v>
      </c>
      <c r="D79" t="s">
        <v>20</v>
      </c>
      <c r="E79">
        <v>6518.46</v>
      </c>
      <c r="F79">
        <v>6342.93</v>
      </c>
      <c r="G79">
        <v>103713</v>
      </c>
      <c r="H79">
        <v>2193</v>
      </c>
      <c r="I79">
        <v>165</v>
      </c>
      <c r="J79">
        <v>5737.96</v>
      </c>
    </row>
    <row r="80" spans="1:10">
      <c r="A80" t="s">
        <v>97</v>
      </c>
      <c r="B80" s="15">
        <v>45725</v>
      </c>
      <c r="C80" t="s">
        <v>11</v>
      </c>
      <c r="D80" t="s">
        <v>12</v>
      </c>
      <c r="E80">
        <v>4366.7</v>
      </c>
      <c r="F80">
        <v>4439.78</v>
      </c>
      <c r="G80">
        <v>110834</v>
      </c>
      <c r="H80">
        <v>4636</v>
      </c>
      <c r="I80">
        <v>797</v>
      </c>
      <c r="J80">
        <v>22653.27</v>
      </c>
    </row>
    <row r="81" spans="1:10">
      <c r="A81" t="s">
        <v>98</v>
      </c>
      <c r="B81" s="15">
        <v>45731</v>
      </c>
      <c r="C81" t="s">
        <v>14</v>
      </c>
      <c r="D81" t="s">
        <v>20</v>
      </c>
      <c r="E81">
        <v>3170.21</v>
      </c>
      <c r="F81">
        <v>3150.05</v>
      </c>
      <c r="G81">
        <v>122735</v>
      </c>
      <c r="H81">
        <v>2941</v>
      </c>
      <c r="I81">
        <v>274</v>
      </c>
      <c r="J81">
        <v>6935.85</v>
      </c>
    </row>
    <row r="82" spans="1:10">
      <c r="A82" t="s">
        <v>99</v>
      </c>
      <c r="B82" s="15">
        <v>45671</v>
      </c>
      <c r="C82" t="s">
        <v>22</v>
      </c>
      <c r="D82" t="s">
        <v>20</v>
      </c>
      <c r="E82">
        <v>9583.21</v>
      </c>
      <c r="F82">
        <v>10409.08</v>
      </c>
      <c r="G82">
        <v>188008</v>
      </c>
      <c r="H82">
        <v>8592</v>
      </c>
      <c r="I82">
        <v>165</v>
      </c>
      <c r="J82">
        <v>7828.58</v>
      </c>
    </row>
    <row r="83" spans="1:10">
      <c r="A83" t="s">
        <v>100</v>
      </c>
      <c r="B83" s="15">
        <v>45706</v>
      </c>
      <c r="C83" t="s">
        <v>11</v>
      </c>
      <c r="D83" t="s">
        <v>20</v>
      </c>
      <c r="E83">
        <v>5591.11</v>
      </c>
      <c r="F83">
        <v>4498.81</v>
      </c>
      <c r="G83">
        <v>139883</v>
      </c>
      <c r="H83">
        <v>4226</v>
      </c>
      <c r="I83">
        <v>835</v>
      </c>
      <c r="J83">
        <v>39954.38</v>
      </c>
    </row>
    <row r="84" spans="1:10">
      <c r="A84" t="s">
        <v>101</v>
      </c>
      <c r="B84" s="15">
        <v>45701</v>
      </c>
      <c r="C84" t="s">
        <v>22</v>
      </c>
      <c r="D84" t="s">
        <v>20</v>
      </c>
      <c r="E84">
        <v>5997.29</v>
      </c>
      <c r="F84">
        <v>6537.02</v>
      </c>
      <c r="G84">
        <v>138325</v>
      </c>
      <c r="H84">
        <v>4027</v>
      </c>
      <c r="I84">
        <v>453</v>
      </c>
      <c r="J84">
        <v>22155.6</v>
      </c>
    </row>
    <row r="85" spans="1:10">
      <c r="A85" t="s">
        <v>102</v>
      </c>
      <c r="B85" s="15">
        <v>45763</v>
      </c>
      <c r="C85" t="s">
        <v>11</v>
      </c>
      <c r="D85" t="s">
        <v>20</v>
      </c>
      <c r="E85">
        <v>8971.07</v>
      </c>
      <c r="F85">
        <v>7969.31</v>
      </c>
      <c r="G85">
        <v>82264</v>
      </c>
      <c r="H85">
        <v>3537</v>
      </c>
      <c r="I85">
        <v>673</v>
      </c>
      <c r="J85">
        <v>21235.12</v>
      </c>
    </row>
    <row r="86" spans="1:10">
      <c r="A86" t="s">
        <v>103</v>
      </c>
      <c r="B86" s="15">
        <v>45642</v>
      </c>
      <c r="C86" t="s">
        <v>14</v>
      </c>
      <c r="D86" t="s">
        <v>12</v>
      </c>
      <c r="E86">
        <v>8957.96</v>
      </c>
      <c r="F86">
        <v>8018.06</v>
      </c>
      <c r="G86">
        <v>88706</v>
      </c>
      <c r="H86">
        <v>1251</v>
      </c>
      <c r="I86">
        <v>146</v>
      </c>
      <c r="J86">
        <v>3662.38</v>
      </c>
    </row>
    <row r="87" spans="1:10">
      <c r="A87" t="s">
        <v>104</v>
      </c>
      <c r="B87" s="15">
        <v>45693</v>
      </c>
      <c r="C87" t="s">
        <v>11</v>
      </c>
      <c r="D87" t="s">
        <v>17</v>
      </c>
      <c r="E87">
        <v>6897.61</v>
      </c>
      <c r="F87">
        <v>7455.26</v>
      </c>
      <c r="G87">
        <v>141755</v>
      </c>
      <c r="H87">
        <v>1695</v>
      </c>
      <c r="I87">
        <v>122</v>
      </c>
      <c r="J87">
        <v>4987.47</v>
      </c>
    </row>
    <row r="88" spans="1:10">
      <c r="A88" t="s">
        <v>105</v>
      </c>
      <c r="B88" s="15">
        <v>45639</v>
      </c>
      <c r="C88" t="s">
        <v>19</v>
      </c>
      <c r="D88" t="s">
        <v>17</v>
      </c>
      <c r="E88">
        <v>6990.43</v>
      </c>
      <c r="F88">
        <v>5796.14</v>
      </c>
      <c r="G88">
        <v>97675</v>
      </c>
      <c r="H88">
        <v>4253</v>
      </c>
      <c r="I88">
        <v>420</v>
      </c>
      <c r="J88">
        <v>16149.09</v>
      </c>
    </row>
    <row r="89" spans="1:10">
      <c r="A89" t="s">
        <v>106</v>
      </c>
      <c r="B89" s="15">
        <v>45766</v>
      </c>
      <c r="C89" t="s">
        <v>24</v>
      </c>
      <c r="D89" t="s">
        <v>17</v>
      </c>
      <c r="E89">
        <v>9930.38</v>
      </c>
      <c r="F89">
        <v>8361.63</v>
      </c>
      <c r="G89">
        <v>155967</v>
      </c>
      <c r="H89">
        <v>1655</v>
      </c>
      <c r="I89">
        <v>74</v>
      </c>
      <c r="J89">
        <v>2630.69</v>
      </c>
    </row>
    <row r="90" spans="1:10">
      <c r="A90" t="s">
        <v>107</v>
      </c>
      <c r="B90" s="15">
        <v>45645</v>
      </c>
      <c r="C90" t="s">
        <v>19</v>
      </c>
      <c r="D90" t="s">
        <v>15</v>
      </c>
      <c r="E90">
        <v>9141.61</v>
      </c>
      <c r="F90">
        <v>9344.83</v>
      </c>
      <c r="G90">
        <v>154219</v>
      </c>
      <c r="H90">
        <v>2086</v>
      </c>
      <c r="I90">
        <v>249</v>
      </c>
      <c r="J90">
        <v>10186.71</v>
      </c>
    </row>
    <row r="91" spans="1:10">
      <c r="A91" t="s">
        <v>108</v>
      </c>
      <c r="B91" s="15">
        <v>45784</v>
      </c>
      <c r="C91" t="s">
        <v>14</v>
      </c>
      <c r="D91" t="s">
        <v>12</v>
      </c>
      <c r="E91">
        <v>7917.39</v>
      </c>
      <c r="F91">
        <v>7187.78</v>
      </c>
      <c r="G91">
        <v>133842</v>
      </c>
      <c r="H91">
        <v>1394</v>
      </c>
      <c r="I91">
        <v>197</v>
      </c>
      <c r="J91">
        <v>5675.13</v>
      </c>
    </row>
    <row r="92" spans="1:10">
      <c r="A92" t="s">
        <v>109</v>
      </c>
      <c r="B92" s="15">
        <v>45662</v>
      </c>
      <c r="C92" t="s">
        <v>22</v>
      </c>
      <c r="D92" t="s">
        <v>17</v>
      </c>
      <c r="E92">
        <v>8665.53</v>
      </c>
      <c r="F92">
        <v>9038.44</v>
      </c>
      <c r="G92">
        <v>126153</v>
      </c>
      <c r="H92">
        <v>6045</v>
      </c>
      <c r="I92">
        <v>748</v>
      </c>
      <c r="J92">
        <v>34417.1</v>
      </c>
    </row>
    <row r="93" spans="1:10">
      <c r="A93" t="s">
        <v>110</v>
      </c>
      <c r="B93" s="15">
        <v>45642</v>
      </c>
      <c r="C93" t="s">
        <v>11</v>
      </c>
      <c r="D93" t="s">
        <v>15</v>
      </c>
      <c r="E93">
        <v>9392.68</v>
      </c>
      <c r="F93">
        <v>8955.01</v>
      </c>
      <c r="G93">
        <v>83386</v>
      </c>
      <c r="H93">
        <v>1255</v>
      </c>
      <c r="I93">
        <v>90</v>
      </c>
      <c r="J93">
        <v>3154.09</v>
      </c>
    </row>
    <row r="94" spans="1:10">
      <c r="A94" t="s">
        <v>111</v>
      </c>
      <c r="B94" s="15">
        <v>45801</v>
      </c>
      <c r="C94" t="s">
        <v>22</v>
      </c>
      <c r="D94" t="s">
        <v>17</v>
      </c>
      <c r="E94">
        <v>8588.07</v>
      </c>
      <c r="F94">
        <v>8545.04</v>
      </c>
      <c r="G94">
        <v>137986</v>
      </c>
      <c r="H94">
        <v>6053</v>
      </c>
      <c r="I94">
        <v>403</v>
      </c>
      <c r="J94">
        <v>16546.78</v>
      </c>
    </row>
    <row r="95" spans="1:10">
      <c r="A95" t="s">
        <v>112</v>
      </c>
      <c r="B95" s="15">
        <v>45767</v>
      </c>
      <c r="C95" t="s">
        <v>14</v>
      </c>
      <c r="D95" t="s">
        <v>20</v>
      </c>
      <c r="E95">
        <v>8570.55</v>
      </c>
      <c r="F95">
        <v>9144.79</v>
      </c>
      <c r="G95">
        <v>103318</v>
      </c>
      <c r="H95">
        <v>2013</v>
      </c>
      <c r="I95">
        <v>80</v>
      </c>
      <c r="J95">
        <v>2411.19</v>
      </c>
    </row>
    <row r="96" spans="1:10">
      <c r="A96" t="s">
        <v>113</v>
      </c>
      <c r="B96" s="15">
        <v>45779</v>
      </c>
      <c r="C96" t="s">
        <v>22</v>
      </c>
      <c r="D96" t="s">
        <v>15</v>
      </c>
      <c r="E96">
        <v>5629.08</v>
      </c>
      <c r="F96">
        <v>4661.97</v>
      </c>
      <c r="G96">
        <v>163071</v>
      </c>
      <c r="H96">
        <v>2665</v>
      </c>
      <c r="I96">
        <v>80</v>
      </c>
      <c r="J96">
        <v>2987.87</v>
      </c>
    </row>
    <row r="97" spans="1:10">
      <c r="A97" t="s">
        <v>114</v>
      </c>
      <c r="B97" s="15">
        <v>45813</v>
      </c>
      <c r="C97" t="s">
        <v>14</v>
      </c>
      <c r="D97" t="s">
        <v>17</v>
      </c>
      <c r="E97">
        <v>3251.6</v>
      </c>
      <c r="F97">
        <v>3055.46</v>
      </c>
      <c r="G97">
        <v>115973</v>
      </c>
      <c r="H97">
        <v>4194</v>
      </c>
      <c r="I97">
        <v>366</v>
      </c>
      <c r="J97">
        <v>13278.24</v>
      </c>
    </row>
    <row r="98" spans="1:10">
      <c r="A98" t="s">
        <v>115</v>
      </c>
      <c r="B98" s="15">
        <v>45742</v>
      </c>
      <c r="C98" t="s">
        <v>24</v>
      </c>
      <c r="D98" t="s">
        <v>15</v>
      </c>
      <c r="E98">
        <v>5005.79</v>
      </c>
      <c r="F98">
        <v>4891.91</v>
      </c>
      <c r="G98">
        <v>58155</v>
      </c>
      <c r="H98">
        <v>2713</v>
      </c>
      <c r="I98">
        <v>76</v>
      </c>
      <c r="J98">
        <v>1589.54</v>
      </c>
    </row>
    <row r="99" spans="1:10">
      <c r="A99" t="s">
        <v>116</v>
      </c>
      <c r="B99" s="15">
        <v>45668</v>
      </c>
      <c r="C99" t="s">
        <v>14</v>
      </c>
      <c r="D99" t="s">
        <v>20</v>
      </c>
      <c r="E99">
        <v>3261.44</v>
      </c>
      <c r="F99">
        <v>3414.01</v>
      </c>
      <c r="G99">
        <v>121100</v>
      </c>
      <c r="H99">
        <v>4154</v>
      </c>
      <c r="I99">
        <v>712</v>
      </c>
      <c r="J99">
        <v>21933.67</v>
      </c>
    </row>
    <row r="100" spans="1:10">
      <c r="A100" t="s">
        <v>117</v>
      </c>
      <c r="B100" s="15">
        <v>45791</v>
      </c>
      <c r="C100" t="s">
        <v>22</v>
      </c>
      <c r="D100" t="s">
        <v>20</v>
      </c>
      <c r="E100">
        <v>3889.42</v>
      </c>
      <c r="F100">
        <v>3720.9</v>
      </c>
      <c r="G100">
        <v>129730</v>
      </c>
      <c r="H100">
        <v>3017</v>
      </c>
      <c r="I100">
        <v>425</v>
      </c>
      <c r="J100">
        <v>18317.42</v>
      </c>
    </row>
    <row r="101" spans="1:10">
      <c r="A101" t="s">
        <v>118</v>
      </c>
      <c r="B101" s="15">
        <v>45720</v>
      </c>
      <c r="C101" t="s">
        <v>11</v>
      </c>
      <c r="D101" t="s">
        <v>12</v>
      </c>
      <c r="E101">
        <v>4510.75</v>
      </c>
      <c r="F101">
        <v>4451.51</v>
      </c>
      <c r="G101">
        <v>51577</v>
      </c>
      <c r="H101">
        <v>1434</v>
      </c>
      <c r="I101">
        <v>154</v>
      </c>
      <c r="J101">
        <v>3474.31</v>
      </c>
    </row>
    <row r="102" spans="1:10">
      <c r="A102" t="s">
        <v>119</v>
      </c>
      <c r="B102" s="15">
        <v>45698</v>
      </c>
      <c r="C102" t="s">
        <v>11</v>
      </c>
      <c r="D102" t="s">
        <v>12</v>
      </c>
      <c r="E102">
        <v>3361.77</v>
      </c>
      <c r="F102">
        <v>3225.3</v>
      </c>
      <c r="G102">
        <v>147591</v>
      </c>
      <c r="H102">
        <v>4755</v>
      </c>
      <c r="I102">
        <v>277</v>
      </c>
      <c r="J102">
        <v>10032.68</v>
      </c>
    </row>
    <row r="103" spans="1:10">
      <c r="A103" t="s">
        <v>120</v>
      </c>
      <c r="B103" s="15">
        <v>45668</v>
      </c>
      <c r="C103" t="s">
        <v>22</v>
      </c>
      <c r="D103" t="s">
        <v>17</v>
      </c>
      <c r="E103">
        <v>7462.01</v>
      </c>
      <c r="F103">
        <v>7595.04</v>
      </c>
      <c r="G103">
        <v>189630</v>
      </c>
      <c r="H103">
        <v>2389</v>
      </c>
      <c r="I103">
        <v>268</v>
      </c>
      <c r="J103">
        <v>13205.85</v>
      </c>
    </row>
    <row r="104" spans="1:10">
      <c r="A104" t="s">
        <v>121</v>
      </c>
      <c r="B104" s="15">
        <v>45709</v>
      </c>
      <c r="C104" t="s">
        <v>24</v>
      </c>
      <c r="D104" t="s">
        <v>12</v>
      </c>
      <c r="E104">
        <v>6614.1</v>
      </c>
      <c r="F104">
        <v>5932.1</v>
      </c>
      <c r="G104">
        <v>175761</v>
      </c>
      <c r="H104">
        <v>4515</v>
      </c>
      <c r="I104">
        <v>649</v>
      </c>
      <c r="J104">
        <v>28462.28</v>
      </c>
    </row>
    <row r="105" spans="1:10">
      <c r="A105" t="s">
        <v>122</v>
      </c>
      <c r="B105" s="15">
        <v>45690</v>
      </c>
      <c r="C105" t="s">
        <v>22</v>
      </c>
      <c r="D105" t="s">
        <v>12</v>
      </c>
      <c r="E105">
        <v>4895.83</v>
      </c>
      <c r="F105">
        <v>4561.4</v>
      </c>
      <c r="G105">
        <v>151629</v>
      </c>
      <c r="H105">
        <v>4739</v>
      </c>
      <c r="I105">
        <v>583</v>
      </c>
      <c r="J105">
        <v>13032.2</v>
      </c>
    </row>
    <row r="106" spans="1:10">
      <c r="A106" t="s">
        <v>123</v>
      </c>
      <c r="B106" s="15">
        <v>45805</v>
      </c>
      <c r="C106" t="s">
        <v>19</v>
      </c>
      <c r="D106" t="s">
        <v>20</v>
      </c>
      <c r="E106">
        <v>3177.46</v>
      </c>
      <c r="F106">
        <v>3459.6</v>
      </c>
      <c r="G106">
        <v>120702</v>
      </c>
      <c r="H106">
        <v>2467</v>
      </c>
      <c r="I106">
        <v>288</v>
      </c>
      <c r="J106">
        <v>12982.87</v>
      </c>
    </row>
    <row r="107" spans="1:10">
      <c r="A107" t="s">
        <v>124</v>
      </c>
      <c r="B107" s="15">
        <v>45752</v>
      </c>
      <c r="C107" t="s">
        <v>11</v>
      </c>
      <c r="D107" t="s">
        <v>20</v>
      </c>
      <c r="E107">
        <v>7871.82</v>
      </c>
      <c r="F107">
        <v>7263.22</v>
      </c>
      <c r="G107">
        <v>176077</v>
      </c>
      <c r="H107">
        <v>2054</v>
      </c>
      <c r="I107">
        <v>402</v>
      </c>
      <c r="J107">
        <v>10129.93</v>
      </c>
    </row>
    <row r="108" spans="1:10">
      <c r="A108" t="s">
        <v>125</v>
      </c>
      <c r="B108" s="15">
        <v>45774</v>
      </c>
      <c r="C108" t="s">
        <v>24</v>
      </c>
      <c r="D108" t="s">
        <v>15</v>
      </c>
      <c r="E108">
        <v>4095.06</v>
      </c>
      <c r="F108">
        <v>3583.48</v>
      </c>
      <c r="G108">
        <v>134667</v>
      </c>
      <c r="H108">
        <v>4062</v>
      </c>
      <c r="I108">
        <v>556</v>
      </c>
      <c r="J108">
        <v>20281.1</v>
      </c>
    </row>
    <row r="109" spans="1:10">
      <c r="A109" t="s">
        <v>126</v>
      </c>
      <c r="B109" s="15">
        <v>45716</v>
      </c>
      <c r="C109" t="s">
        <v>22</v>
      </c>
      <c r="D109" t="s">
        <v>17</v>
      </c>
      <c r="E109">
        <v>8002.17</v>
      </c>
      <c r="F109">
        <v>7986.64</v>
      </c>
      <c r="G109">
        <v>178492</v>
      </c>
      <c r="H109">
        <v>2018</v>
      </c>
      <c r="I109">
        <v>385</v>
      </c>
      <c r="J109">
        <v>10933.24</v>
      </c>
    </row>
    <row r="110" spans="1:10">
      <c r="A110" t="s">
        <v>127</v>
      </c>
      <c r="B110" s="15">
        <v>45775</v>
      </c>
      <c r="C110" t="s">
        <v>19</v>
      </c>
      <c r="D110" t="s">
        <v>17</v>
      </c>
      <c r="E110">
        <v>9684.06</v>
      </c>
      <c r="F110">
        <v>9891</v>
      </c>
      <c r="G110">
        <v>145812</v>
      </c>
      <c r="H110">
        <v>2588</v>
      </c>
      <c r="I110">
        <v>340</v>
      </c>
      <c r="J110">
        <v>12454.41</v>
      </c>
    </row>
    <row r="111" spans="1:10">
      <c r="A111" t="s">
        <v>128</v>
      </c>
      <c r="B111" s="15">
        <v>45810</v>
      </c>
      <c r="C111" t="s">
        <v>19</v>
      </c>
      <c r="D111" t="s">
        <v>12</v>
      </c>
      <c r="E111">
        <v>7282.05</v>
      </c>
      <c r="F111">
        <v>6742.3</v>
      </c>
      <c r="G111">
        <v>186329</v>
      </c>
      <c r="H111">
        <v>2426</v>
      </c>
      <c r="I111">
        <v>475</v>
      </c>
      <c r="J111">
        <v>13030.17</v>
      </c>
    </row>
    <row r="112" spans="1:10">
      <c r="A112" t="s">
        <v>129</v>
      </c>
      <c r="B112" s="15">
        <v>45640</v>
      </c>
      <c r="C112" t="s">
        <v>22</v>
      </c>
      <c r="D112" t="s">
        <v>17</v>
      </c>
      <c r="E112">
        <v>5491.81</v>
      </c>
      <c r="F112">
        <v>5642.03</v>
      </c>
      <c r="G112">
        <v>147883</v>
      </c>
      <c r="H112">
        <v>1463</v>
      </c>
      <c r="I112">
        <v>163</v>
      </c>
      <c r="J112">
        <v>3330.38</v>
      </c>
    </row>
    <row r="113" spans="1:10">
      <c r="A113" t="s">
        <v>130</v>
      </c>
      <c r="B113" s="15">
        <v>45807</v>
      </c>
      <c r="C113" t="s">
        <v>19</v>
      </c>
      <c r="D113" t="s">
        <v>12</v>
      </c>
      <c r="E113">
        <v>3812.51</v>
      </c>
      <c r="F113">
        <v>3102.62</v>
      </c>
      <c r="G113">
        <v>134164</v>
      </c>
      <c r="H113">
        <v>3192</v>
      </c>
      <c r="I113">
        <v>339</v>
      </c>
      <c r="J113">
        <v>7194.21</v>
      </c>
    </row>
    <row r="114" spans="1:10">
      <c r="A114" t="s">
        <v>131</v>
      </c>
      <c r="B114" s="15">
        <v>45639</v>
      </c>
      <c r="C114" t="s">
        <v>11</v>
      </c>
      <c r="D114" t="s">
        <v>12</v>
      </c>
      <c r="E114">
        <v>8988.22</v>
      </c>
      <c r="F114">
        <v>9087.97</v>
      </c>
      <c r="G114">
        <v>127750</v>
      </c>
      <c r="H114">
        <v>5551</v>
      </c>
      <c r="I114">
        <v>393</v>
      </c>
      <c r="J114">
        <v>13450.51</v>
      </c>
    </row>
    <row r="115" spans="1:10">
      <c r="A115" t="s">
        <v>132</v>
      </c>
      <c r="B115" s="15">
        <v>45639</v>
      </c>
      <c r="C115" t="s">
        <v>22</v>
      </c>
      <c r="D115" t="s">
        <v>20</v>
      </c>
      <c r="E115">
        <v>3684.84</v>
      </c>
      <c r="F115">
        <v>3491.33</v>
      </c>
      <c r="G115">
        <v>99153</v>
      </c>
      <c r="H115">
        <v>2036</v>
      </c>
      <c r="I115">
        <v>382</v>
      </c>
      <c r="J115">
        <v>13065.99</v>
      </c>
    </row>
    <row r="116" spans="1:10">
      <c r="A116" t="s">
        <v>133</v>
      </c>
      <c r="B116" s="15">
        <v>45754</v>
      </c>
      <c r="C116" t="s">
        <v>22</v>
      </c>
      <c r="D116" t="s">
        <v>20</v>
      </c>
      <c r="E116">
        <v>4212.41</v>
      </c>
      <c r="F116">
        <v>3918.2</v>
      </c>
      <c r="G116">
        <v>171690</v>
      </c>
      <c r="H116">
        <v>1892</v>
      </c>
      <c r="I116">
        <v>232</v>
      </c>
      <c r="J116">
        <v>7413.59</v>
      </c>
    </row>
    <row r="117" spans="1:10">
      <c r="A117" t="s">
        <v>134</v>
      </c>
      <c r="B117" s="15">
        <v>45667</v>
      </c>
      <c r="C117" t="s">
        <v>19</v>
      </c>
      <c r="D117" t="s">
        <v>20</v>
      </c>
      <c r="E117">
        <v>7310.95</v>
      </c>
      <c r="F117">
        <v>7241.7</v>
      </c>
      <c r="G117">
        <v>196304</v>
      </c>
      <c r="H117">
        <v>8710</v>
      </c>
      <c r="I117">
        <v>965</v>
      </c>
      <c r="J117">
        <v>20611.55</v>
      </c>
    </row>
    <row r="118" spans="1:10">
      <c r="A118" t="s">
        <v>135</v>
      </c>
      <c r="B118" s="15">
        <v>45735</v>
      </c>
      <c r="C118" t="s">
        <v>22</v>
      </c>
      <c r="D118" t="s">
        <v>20</v>
      </c>
      <c r="E118">
        <v>5622.29</v>
      </c>
      <c r="F118">
        <v>5553.46</v>
      </c>
      <c r="G118">
        <v>184625</v>
      </c>
      <c r="H118">
        <v>5858</v>
      </c>
      <c r="I118">
        <v>179</v>
      </c>
      <c r="J118">
        <v>6281.84</v>
      </c>
    </row>
    <row r="119" spans="1:10">
      <c r="A119" t="s">
        <v>136</v>
      </c>
      <c r="B119" s="15">
        <v>45719</v>
      </c>
      <c r="C119" t="s">
        <v>11</v>
      </c>
      <c r="D119" t="s">
        <v>17</v>
      </c>
      <c r="E119">
        <v>8995.43</v>
      </c>
      <c r="F119">
        <v>8973.91</v>
      </c>
      <c r="G119">
        <v>65860</v>
      </c>
      <c r="H119">
        <v>1196</v>
      </c>
      <c r="I119">
        <v>210</v>
      </c>
      <c r="J119">
        <v>5226.49</v>
      </c>
    </row>
    <row r="120" spans="1:10">
      <c r="A120" t="s">
        <v>137</v>
      </c>
      <c r="B120" s="15">
        <v>45697</v>
      </c>
      <c r="C120" t="s">
        <v>22</v>
      </c>
      <c r="D120" t="s">
        <v>12</v>
      </c>
      <c r="E120">
        <v>3493.98</v>
      </c>
      <c r="F120">
        <v>3468.56</v>
      </c>
      <c r="G120">
        <v>149919</v>
      </c>
      <c r="H120">
        <v>5922</v>
      </c>
      <c r="I120">
        <v>705</v>
      </c>
      <c r="J120">
        <v>14660.71</v>
      </c>
    </row>
    <row r="121" spans="1:10">
      <c r="A121" t="s">
        <v>138</v>
      </c>
      <c r="B121" s="15">
        <v>45797</v>
      </c>
      <c r="C121" t="s">
        <v>24</v>
      </c>
      <c r="D121" t="s">
        <v>12</v>
      </c>
      <c r="E121">
        <v>7100.43</v>
      </c>
      <c r="F121">
        <v>7683.16</v>
      </c>
      <c r="G121">
        <v>124319</v>
      </c>
      <c r="H121">
        <v>3473</v>
      </c>
      <c r="I121">
        <v>495</v>
      </c>
      <c r="J121">
        <v>18445.79</v>
      </c>
    </row>
    <row r="122" spans="1:10">
      <c r="A122" t="s">
        <v>139</v>
      </c>
      <c r="B122" s="15">
        <v>45784</v>
      </c>
      <c r="C122" t="s">
        <v>11</v>
      </c>
      <c r="D122" t="s">
        <v>17</v>
      </c>
      <c r="E122">
        <v>5717.19</v>
      </c>
      <c r="F122">
        <v>5677.09</v>
      </c>
      <c r="G122">
        <v>149623</v>
      </c>
      <c r="H122">
        <v>2483</v>
      </c>
      <c r="I122">
        <v>463</v>
      </c>
      <c r="J122">
        <v>15625.13</v>
      </c>
    </row>
    <row r="123" spans="1:10">
      <c r="A123" t="s">
        <v>140</v>
      </c>
      <c r="B123" s="15">
        <v>45673</v>
      </c>
      <c r="C123" t="s">
        <v>22</v>
      </c>
      <c r="D123" t="s">
        <v>12</v>
      </c>
      <c r="E123">
        <v>6819.32</v>
      </c>
      <c r="F123">
        <v>7381.5</v>
      </c>
      <c r="G123">
        <v>53378</v>
      </c>
      <c r="H123">
        <v>2137</v>
      </c>
      <c r="I123">
        <v>410</v>
      </c>
      <c r="J123">
        <v>12949.06</v>
      </c>
    </row>
    <row r="124" spans="1:10">
      <c r="A124" t="s">
        <v>141</v>
      </c>
      <c r="B124" s="15">
        <v>45752</v>
      </c>
      <c r="C124" t="s">
        <v>19</v>
      </c>
      <c r="D124" t="s">
        <v>12</v>
      </c>
      <c r="E124">
        <v>9728.33</v>
      </c>
      <c r="F124">
        <v>10424.93</v>
      </c>
      <c r="G124">
        <v>165946</v>
      </c>
      <c r="H124">
        <v>4099</v>
      </c>
      <c r="I124">
        <v>151</v>
      </c>
      <c r="J124">
        <v>3906.93</v>
      </c>
    </row>
    <row r="125" spans="1:10">
      <c r="A125" t="s">
        <v>142</v>
      </c>
      <c r="B125" s="15">
        <v>45814</v>
      </c>
      <c r="C125" t="s">
        <v>19</v>
      </c>
      <c r="D125" t="s">
        <v>12</v>
      </c>
      <c r="E125">
        <v>3485.53</v>
      </c>
      <c r="F125">
        <v>2893.8</v>
      </c>
      <c r="G125">
        <v>66013</v>
      </c>
      <c r="H125">
        <v>1830</v>
      </c>
      <c r="I125">
        <v>275</v>
      </c>
      <c r="J125">
        <v>5650.33</v>
      </c>
    </row>
    <row r="126" spans="1:10">
      <c r="A126" t="s">
        <v>143</v>
      </c>
      <c r="B126" s="15">
        <v>45746</v>
      </c>
      <c r="C126" t="s">
        <v>11</v>
      </c>
      <c r="D126" t="s">
        <v>20</v>
      </c>
      <c r="E126">
        <v>3661.1</v>
      </c>
      <c r="F126">
        <v>3679.05</v>
      </c>
      <c r="G126">
        <v>163376</v>
      </c>
      <c r="H126">
        <v>7011</v>
      </c>
      <c r="I126">
        <v>514</v>
      </c>
      <c r="J126">
        <v>11377.73</v>
      </c>
    </row>
    <row r="127" spans="1:10">
      <c r="A127" t="s">
        <v>144</v>
      </c>
      <c r="B127" s="15">
        <v>45766</v>
      </c>
      <c r="C127" t="s">
        <v>24</v>
      </c>
      <c r="D127" t="s">
        <v>17</v>
      </c>
      <c r="E127">
        <v>5232.83</v>
      </c>
      <c r="F127">
        <v>5512.59</v>
      </c>
      <c r="G127">
        <v>139628</v>
      </c>
      <c r="H127">
        <v>1738</v>
      </c>
      <c r="I127">
        <v>81</v>
      </c>
      <c r="J127">
        <v>1676.55</v>
      </c>
    </row>
    <row r="128" spans="1:10">
      <c r="A128" t="s">
        <v>145</v>
      </c>
      <c r="B128" s="15">
        <v>45777</v>
      </c>
      <c r="C128" t="s">
        <v>11</v>
      </c>
      <c r="D128" t="s">
        <v>15</v>
      </c>
      <c r="E128">
        <v>8701.28</v>
      </c>
      <c r="F128">
        <v>7696.77</v>
      </c>
      <c r="G128">
        <v>62770</v>
      </c>
      <c r="H128">
        <v>1245</v>
      </c>
      <c r="I128">
        <v>249</v>
      </c>
      <c r="J128">
        <v>5862.69</v>
      </c>
    </row>
    <row r="129" spans="1:10">
      <c r="A129" t="s">
        <v>146</v>
      </c>
      <c r="B129" s="15">
        <v>45698</v>
      </c>
      <c r="C129" t="s">
        <v>22</v>
      </c>
      <c r="D129" t="s">
        <v>17</v>
      </c>
      <c r="E129">
        <v>7877.16</v>
      </c>
      <c r="F129">
        <v>7788.01</v>
      </c>
      <c r="G129">
        <v>129840</v>
      </c>
      <c r="H129">
        <v>5797</v>
      </c>
      <c r="I129">
        <v>480</v>
      </c>
      <c r="J129">
        <v>22235.6</v>
      </c>
    </row>
    <row r="130" spans="1:10">
      <c r="A130" t="s">
        <v>147</v>
      </c>
      <c r="B130" s="15">
        <v>45680</v>
      </c>
      <c r="C130" t="s">
        <v>22</v>
      </c>
      <c r="D130" t="s">
        <v>20</v>
      </c>
      <c r="E130">
        <v>8145.5</v>
      </c>
      <c r="F130">
        <v>8479.83</v>
      </c>
      <c r="G130">
        <v>81087</v>
      </c>
      <c r="H130">
        <v>3895</v>
      </c>
      <c r="I130">
        <v>231</v>
      </c>
      <c r="J130">
        <v>6574.5</v>
      </c>
    </row>
    <row r="131" spans="1:10">
      <c r="A131" t="s">
        <v>148</v>
      </c>
      <c r="B131" s="15">
        <v>45744</v>
      </c>
      <c r="C131" t="s">
        <v>11</v>
      </c>
      <c r="D131" t="s">
        <v>17</v>
      </c>
      <c r="E131">
        <v>4242.08</v>
      </c>
      <c r="F131">
        <v>4348.91</v>
      </c>
      <c r="G131">
        <v>199475</v>
      </c>
      <c r="H131">
        <v>6783</v>
      </c>
      <c r="I131">
        <v>258</v>
      </c>
      <c r="J131">
        <v>11404.9</v>
      </c>
    </row>
    <row r="132" spans="1:10">
      <c r="A132" t="s">
        <v>149</v>
      </c>
      <c r="B132" s="15">
        <v>45770</v>
      </c>
      <c r="C132" t="s">
        <v>24</v>
      </c>
      <c r="D132" t="s">
        <v>12</v>
      </c>
      <c r="E132">
        <v>9933.54</v>
      </c>
      <c r="F132">
        <v>9176.46</v>
      </c>
      <c r="G132">
        <v>197123</v>
      </c>
      <c r="H132">
        <v>3693</v>
      </c>
      <c r="I132">
        <v>271</v>
      </c>
      <c r="J132">
        <v>8444.51</v>
      </c>
    </row>
    <row r="133" spans="1:10">
      <c r="A133" t="s">
        <v>150</v>
      </c>
      <c r="B133" s="15">
        <v>45764</v>
      </c>
      <c r="C133" t="s">
        <v>14</v>
      </c>
      <c r="D133" t="s">
        <v>15</v>
      </c>
      <c r="E133">
        <v>8434.89</v>
      </c>
      <c r="F133">
        <v>7610.3</v>
      </c>
      <c r="G133">
        <v>139183</v>
      </c>
      <c r="H133">
        <v>5327</v>
      </c>
      <c r="I133">
        <v>212</v>
      </c>
      <c r="J133">
        <v>10159.62</v>
      </c>
    </row>
    <row r="134" spans="1:10">
      <c r="A134" t="s">
        <v>151</v>
      </c>
      <c r="B134" s="15">
        <v>45640</v>
      </c>
      <c r="C134" t="s">
        <v>14</v>
      </c>
      <c r="D134" t="s">
        <v>20</v>
      </c>
      <c r="E134">
        <v>9008.89</v>
      </c>
      <c r="F134">
        <v>8366.54</v>
      </c>
      <c r="G134">
        <v>144975</v>
      </c>
      <c r="H134">
        <v>7116</v>
      </c>
      <c r="I134">
        <v>119</v>
      </c>
      <c r="J134">
        <v>5060.61</v>
      </c>
    </row>
    <row r="135" spans="1:10">
      <c r="A135" t="s">
        <v>152</v>
      </c>
      <c r="B135" s="15">
        <v>45713</v>
      </c>
      <c r="C135" t="s">
        <v>14</v>
      </c>
      <c r="D135" t="s">
        <v>15</v>
      </c>
      <c r="E135">
        <v>8281.8</v>
      </c>
      <c r="F135">
        <v>6881.66</v>
      </c>
      <c r="G135">
        <v>77279</v>
      </c>
      <c r="H135">
        <v>3326</v>
      </c>
      <c r="I135">
        <v>210</v>
      </c>
      <c r="J135">
        <v>9886.08</v>
      </c>
    </row>
    <row r="136" spans="1:10">
      <c r="A136" t="s">
        <v>153</v>
      </c>
      <c r="B136" s="15">
        <v>45685</v>
      </c>
      <c r="C136" t="s">
        <v>24</v>
      </c>
      <c r="D136" t="s">
        <v>12</v>
      </c>
      <c r="E136">
        <v>6536.77</v>
      </c>
      <c r="F136">
        <v>6850.12</v>
      </c>
      <c r="G136">
        <v>195662</v>
      </c>
      <c r="H136">
        <v>9052</v>
      </c>
      <c r="I136">
        <v>377</v>
      </c>
      <c r="J136">
        <v>11159.76</v>
      </c>
    </row>
    <row r="137" spans="1:10">
      <c r="A137" t="s">
        <v>154</v>
      </c>
      <c r="B137" s="15">
        <v>45715</v>
      </c>
      <c r="C137" t="s">
        <v>14</v>
      </c>
      <c r="D137" t="s">
        <v>20</v>
      </c>
      <c r="E137">
        <v>9268.66</v>
      </c>
      <c r="F137">
        <v>8497.14</v>
      </c>
      <c r="G137">
        <v>168167</v>
      </c>
      <c r="H137">
        <v>4467</v>
      </c>
      <c r="I137">
        <v>63</v>
      </c>
      <c r="J137">
        <v>1280.48</v>
      </c>
    </row>
    <row r="138" spans="1:10">
      <c r="A138" t="s">
        <v>155</v>
      </c>
      <c r="B138" s="15">
        <v>45650</v>
      </c>
      <c r="C138" t="s">
        <v>24</v>
      </c>
      <c r="D138" t="s">
        <v>15</v>
      </c>
      <c r="E138">
        <v>9337.67</v>
      </c>
      <c r="F138">
        <v>7725.86</v>
      </c>
      <c r="G138">
        <v>163943</v>
      </c>
      <c r="H138">
        <v>2848</v>
      </c>
      <c r="I138">
        <v>536</v>
      </c>
      <c r="J138">
        <v>15854.56</v>
      </c>
    </row>
    <row r="139" spans="1:10">
      <c r="A139" t="s">
        <v>156</v>
      </c>
      <c r="B139" s="15">
        <v>45808</v>
      </c>
      <c r="C139" t="s">
        <v>24</v>
      </c>
      <c r="D139" t="s">
        <v>17</v>
      </c>
      <c r="E139">
        <v>9650.43</v>
      </c>
      <c r="F139">
        <v>10472.47</v>
      </c>
      <c r="G139">
        <v>137121</v>
      </c>
      <c r="H139">
        <v>1770</v>
      </c>
      <c r="I139">
        <v>271</v>
      </c>
      <c r="J139">
        <v>10082.05</v>
      </c>
    </row>
    <row r="140" spans="1:10">
      <c r="A140" t="s">
        <v>157</v>
      </c>
      <c r="B140" s="15">
        <v>45646</v>
      </c>
      <c r="C140" t="s">
        <v>11</v>
      </c>
      <c r="D140" t="s">
        <v>20</v>
      </c>
      <c r="E140">
        <v>7422.86</v>
      </c>
      <c r="F140">
        <v>6936.91</v>
      </c>
      <c r="G140">
        <v>174799</v>
      </c>
      <c r="H140">
        <v>5339</v>
      </c>
      <c r="I140">
        <v>543</v>
      </c>
      <c r="J140">
        <v>15636.4</v>
      </c>
    </row>
    <row r="141" spans="1:10">
      <c r="A141" t="s">
        <v>158</v>
      </c>
      <c r="B141" s="15">
        <v>45787</v>
      </c>
      <c r="C141" t="s">
        <v>14</v>
      </c>
      <c r="D141" t="s">
        <v>17</v>
      </c>
      <c r="E141">
        <v>5300.65</v>
      </c>
      <c r="F141">
        <v>5309.96</v>
      </c>
      <c r="G141">
        <v>58780</v>
      </c>
      <c r="H141">
        <v>1712</v>
      </c>
      <c r="I141">
        <v>92</v>
      </c>
      <c r="J141">
        <v>3916.55</v>
      </c>
    </row>
    <row r="142" spans="1:10">
      <c r="A142" t="s">
        <v>159</v>
      </c>
      <c r="B142" s="15">
        <v>45752</v>
      </c>
      <c r="C142" t="s">
        <v>24</v>
      </c>
      <c r="D142" t="s">
        <v>15</v>
      </c>
      <c r="E142">
        <v>8541.05</v>
      </c>
      <c r="F142">
        <v>8856.09</v>
      </c>
      <c r="G142">
        <v>198199</v>
      </c>
      <c r="H142">
        <v>5993</v>
      </c>
      <c r="I142">
        <v>1087</v>
      </c>
      <c r="J142">
        <v>24714.23</v>
      </c>
    </row>
    <row r="143" spans="1:10">
      <c r="A143" t="s">
        <v>160</v>
      </c>
      <c r="B143" s="15">
        <v>45787</v>
      </c>
      <c r="C143" t="s">
        <v>24</v>
      </c>
      <c r="D143" t="s">
        <v>17</v>
      </c>
      <c r="E143">
        <v>6460.94</v>
      </c>
      <c r="F143">
        <v>5280.32</v>
      </c>
      <c r="G143">
        <v>103994</v>
      </c>
      <c r="H143">
        <v>4644</v>
      </c>
      <c r="I143">
        <v>871</v>
      </c>
      <c r="J143">
        <v>31779.19</v>
      </c>
    </row>
    <row r="144" spans="1:10">
      <c r="A144" t="s">
        <v>161</v>
      </c>
      <c r="B144" s="15">
        <v>45800</v>
      </c>
      <c r="C144" t="s">
        <v>19</v>
      </c>
      <c r="D144" t="s">
        <v>17</v>
      </c>
      <c r="E144">
        <v>6090.71</v>
      </c>
      <c r="F144">
        <v>6494.59</v>
      </c>
      <c r="G144">
        <v>149870</v>
      </c>
      <c r="H144">
        <v>2505</v>
      </c>
      <c r="I144">
        <v>453</v>
      </c>
      <c r="J144">
        <v>13828.94</v>
      </c>
    </row>
    <row r="145" spans="1:10">
      <c r="A145" t="s">
        <v>162</v>
      </c>
      <c r="B145" s="15">
        <v>45816</v>
      </c>
      <c r="C145" t="s">
        <v>11</v>
      </c>
      <c r="D145" t="s">
        <v>17</v>
      </c>
      <c r="E145">
        <v>3819.47</v>
      </c>
      <c r="F145">
        <v>3219.42</v>
      </c>
      <c r="G145">
        <v>77061</v>
      </c>
      <c r="H145">
        <v>1539</v>
      </c>
      <c r="I145">
        <v>244</v>
      </c>
      <c r="J145">
        <v>10454.26</v>
      </c>
    </row>
    <row r="146" spans="1:10">
      <c r="A146" t="s">
        <v>163</v>
      </c>
      <c r="B146" s="15">
        <v>45762</v>
      </c>
      <c r="C146" t="s">
        <v>24</v>
      </c>
      <c r="D146" t="s">
        <v>17</v>
      </c>
      <c r="E146">
        <v>7327.53</v>
      </c>
      <c r="F146">
        <v>6084.32</v>
      </c>
      <c r="G146">
        <v>70716</v>
      </c>
      <c r="H146">
        <v>2637</v>
      </c>
      <c r="I146">
        <v>111</v>
      </c>
      <c r="J146">
        <v>2500.08</v>
      </c>
    </row>
    <row r="147" spans="1:10">
      <c r="A147" t="s">
        <v>164</v>
      </c>
      <c r="B147" s="15">
        <v>45789</v>
      </c>
      <c r="C147" t="s">
        <v>22</v>
      </c>
      <c r="D147" t="s">
        <v>20</v>
      </c>
      <c r="E147">
        <v>7906.78</v>
      </c>
      <c r="F147">
        <v>6498.02</v>
      </c>
      <c r="G147">
        <v>81757</v>
      </c>
      <c r="H147">
        <v>1390</v>
      </c>
      <c r="I147">
        <v>160</v>
      </c>
      <c r="J147">
        <v>7144.93</v>
      </c>
    </row>
    <row r="148" spans="1:10">
      <c r="A148" t="s">
        <v>165</v>
      </c>
      <c r="B148" s="15">
        <v>45771</v>
      </c>
      <c r="C148" t="s">
        <v>19</v>
      </c>
      <c r="D148" t="s">
        <v>12</v>
      </c>
      <c r="E148">
        <v>7943.7</v>
      </c>
      <c r="F148">
        <v>6548.82</v>
      </c>
      <c r="G148">
        <v>127949</v>
      </c>
      <c r="H148">
        <v>2073</v>
      </c>
      <c r="I148">
        <v>179</v>
      </c>
      <c r="J148">
        <v>4035.58</v>
      </c>
    </row>
    <row r="149" spans="1:10">
      <c r="A149" t="s">
        <v>166</v>
      </c>
      <c r="B149" s="15">
        <v>45700</v>
      </c>
      <c r="C149" t="s">
        <v>22</v>
      </c>
      <c r="D149" t="s">
        <v>17</v>
      </c>
      <c r="E149">
        <v>9906.48</v>
      </c>
      <c r="F149">
        <v>9037.5</v>
      </c>
      <c r="G149">
        <v>130404</v>
      </c>
      <c r="H149">
        <v>3053</v>
      </c>
      <c r="I149">
        <v>159</v>
      </c>
      <c r="J149">
        <v>4947.96</v>
      </c>
    </row>
    <row r="150" spans="1:10">
      <c r="A150" t="s">
        <v>167</v>
      </c>
      <c r="B150" s="15">
        <v>45784</v>
      </c>
      <c r="C150" t="s">
        <v>14</v>
      </c>
      <c r="D150" t="s">
        <v>17</v>
      </c>
      <c r="E150">
        <v>8689.6</v>
      </c>
      <c r="F150">
        <v>9421.04</v>
      </c>
      <c r="G150">
        <v>162097</v>
      </c>
      <c r="H150">
        <v>7152</v>
      </c>
      <c r="I150">
        <v>1126</v>
      </c>
      <c r="J150">
        <v>55827.12</v>
      </c>
    </row>
    <row r="151" spans="1:10">
      <c r="A151" t="s">
        <v>168</v>
      </c>
      <c r="B151" s="15">
        <v>45793</v>
      </c>
      <c r="C151" t="s">
        <v>22</v>
      </c>
      <c r="D151" t="s">
        <v>20</v>
      </c>
      <c r="E151">
        <v>8273.65</v>
      </c>
      <c r="F151">
        <v>7552.83</v>
      </c>
      <c r="G151">
        <v>154555</v>
      </c>
      <c r="H151">
        <v>7368</v>
      </c>
      <c r="I151">
        <v>692</v>
      </c>
      <c r="J151">
        <v>15573.47</v>
      </c>
    </row>
    <row r="152" spans="1:10">
      <c r="A152" t="s">
        <v>169</v>
      </c>
      <c r="B152" s="15">
        <v>45802</v>
      </c>
      <c r="C152" t="s">
        <v>14</v>
      </c>
      <c r="D152" t="s">
        <v>20</v>
      </c>
      <c r="E152">
        <v>8440.03</v>
      </c>
      <c r="F152">
        <v>8165.91</v>
      </c>
      <c r="G152">
        <v>56338</v>
      </c>
      <c r="H152">
        <v>2066</v>
      </c>
      <c r="I152">
        <v>157</v>
      </c>
      <c r="J152">
        <v>5138.09</v>
      </c>
    </row>
    <row r="153" spans="1:10">
      <c r="A153" t="s">
        <v>170</v>
      </c>
      <c r="B153" s="15">
        <v>45691</v>
      </c>
      <c r="C153" t="s">
        <v>14</v>
      </c>
      <c r="D153" t="s">
        <v>20</v>
      </c>
      <c r="E153">
        <v>9344.48</v>
      </c>
      <c r="F153">
        <v>7787.31</v>
      </c>
      <c r="G153">
        <v>168488</v>
      </c>
      <c r="H153">
        <v>6718</v>
      </c>
      <c r="I153">
        <v>131</v>
      </c>
      <c r="J153">
        <v>4556.02</v>
      </c>
    </row>
    <row r="154" spans="1:10">
      <c r="A154" t="s">
        <v>171</v>
      </c>
      <c r="B154" s="15">
        <v>45663</v>
      </c>
      <c r="C154" t="s">
        <v>24</v>
      </c>
      <c r="D154" t="s">
        <v>17</v>
      </c>
      <c r="E154">
        <v>3079.48</v>
      </c>
      <c r="F154">
        <v>2896.55</v>
      </c>
      <c r="G154">
        <v>70782</v>
      </c>
      <c r="H154">
        <v>3197</v>
      </c>
      <c r="I154">
        <v>540</v>
      </c>
      <c r="J154">
        <v>11712.11</v>
      </c>
    </row>
    <row r="155" spans="1:10">
      <c r="A155" t="s">
        <v>172</v>
      </c>
      <c r="B155" s="15">
        <v>45661</v>
      </c>
      <c r="C155" t="s">
        <v>24</v>
      </c>
      <c r="D155" t="s">
        <v>20</v>
      </c>
      <c r="E155">
        <v>3831.73</v>
      </c>
      <c r="F155">
        <v>3200.48</v>
      </c>
      <c r="G155">
        <v>187830</v>
      </c>
      <c r="H155">
        <v>5038</v>
      </c>
      <c r="I155">
        <v>56</v>
      </c>
      <c r="J155">
        <v>2210.67</v>
      </c>
    </row>
    <row r="156" spans="1:10">
      <c r="A156" t="s">
        <v>173</v>
      </c>
      <c r="B156" s="15">
        <v>45668</v>
      </c>
      <c r="C156" t="s">
        <v>24</v>
      </c>
      <c r="D156" t="s">
        <v>17</v>
      </c>
      <c r="E156">
        <v>8222.31</v>
      </c>
      <c r="F156">
        <v>8016.84</v>
      </c>
      <c r="G156">
        <v>77085</v>
      </c>
      <c r="H156">
        <v>2592</v>
      </c>
      <c r="I156">
        <v>460</v>
      </c>
      <c r="J156">
        <v>22477.98</v>
      </c>
    </row>
    <row r="157" spans="1:10">
      <c r="A157" t="s">
        <v>174</v>
      </c>
      <c r="B157" s="15">
        <v>45814</v>
      </c>
      <c r="C157" t="s">
        <v>11</v>
      </c>
      <c r="D157" t="s">
        <v>12</v>
      </c>
      <c r="E157">
        <v>5624.09</v>
      </c>
      <c r="F157">
        <v>4981.33</v>
      </c>
      <c r="G157">
        <v>181387</v>
      </c>
      <c r="H157">
        <v>7602</v>
      </c>
      <c r="I157">
        <v>1490</v>
      </c>
      <c r="J157">
        <v>68626.38</v>
      </c>
    </row>
    <row r="158" spans="1:10">
      <c r="A158" t="s">
        <v>175</v>
      </c>
      <c r="B158" s="15">
        <v>45785</v>
      </c>
      <c r="C158" t="s">
        <v>14</v>
      </c>
      <c r="D158" t="s">
        <v>20</v>
      </c>
      <c r="E158">
        <v>4565.17</v>
      </c>
      <c r="F158">
        <v>4971.32</v>
      </c>
      <c r="G158">
        <v>161384</v>
      </c>
      <c r="H158">
        <v>4375</v>
      </c>
      <c r="I158">
        <v>117</v>
      </c>
      <c r="J158">
        <v>2382.66</v>
      </c>
    </row>
    <row r="159" spans="1:10">
      <c r="A159" t="s">
        <v>176</v>
      </c>
      <c r="B159" s="15">
        <v>45710</v>
      </c>
      <c r="C159" t="s">
        <v>19</v>
      </c>
      <c r="D159" t="s">
        <v>15</v>
      </c>
      <c r="E159">
        <v>9789.15</v>
      </c>
      <c r="F159">
        <v>7958.07</v>
      </c>
      <c r="G159">
        <v>115218</v>
      </c>
      <c r="H159">
        <v>1614</v>
      </c>
      <c r="I159">
        <v>62</v>
      </c>
      <c r="J159">
        <v>2897.53</v>
      </c>
    </row>
    <row r="160" spans="1:10">
      <c r="A160" t="s">
        <v>177</v>
      </c>
      <c r="B160" s="15">
        <v>45762</v>
      </c>
      <c r="C160" t="s">
        <v>24</v>
      </c>
      <c r="D160" t="s">
        <v>20</v>
      </c>
      <c r="E160">
        <v>6693.91</v>
      </c>
      <c r="F160">
        <v>7349.17</v>
      </c>
      <c r="G160">
        <v>86944</v>
      </c>
      <c r="H160">
        <v>1292</v>
      </c>
      <c r="I160">
        <v>250</v>
      </c>
      <c r="J160">
        <v>5553.47</v>
      </c>
    </row>
    <row r="161" spans="1:10">
      <c r="A161" t="s">
        <v>178</v>
      </c>
      <c r="B161" s="15">
        <v>45778</v>
      </c>
      <c r="C161" t="s">
        <v>11</v>
      </c>
      <c r="D161" t="s">
        <v>17</v>
      </c>
      <c r="E161">
        <v>6876.98</v>
      </c>
      <c r="F161">
        <v>7501.35</v>
      </c>
      <c r="G161">
        <v>126890</v>
      </c>
      <c r="H161">
        <v>3074</v>
      </c>
      <c r="I161">
        <v>614</v>
      </c>
      <c r="J161">
        <v>21915.46</v>
      </c>
    </row>
    <row r="162" spans="1:10">
      <c r="A162" t="s">
        <v>179</v>
      </c>
      <c r="B162" s="15">
        <v>45783</v>
      </c>
      <c r="C162" t="s">
        <v>11</v>
      </c>
      <c r="D162" t="s">
        <v>15</v>
      </c>
      <c r="E162">
        <v>7405.79</v>
      </c>
      <c r="F162">
        <v>7470.4</v>
      </c>
      <c r="G162">
        <v>119094</v>
      </c>
      <c r="H162">
        <v>5829</v>
      </c>
      <c r="I162">
        <v>550</v>
      </c>
      <c r="J162">
        <v>18499.93</v>
      </c>
    </row>
    <row r="163" spans="1:10">
      <c r="A163" t="s">
        <v>180</v>
      </c>
      <c r="B163" s="15">
        <v>45739</v>
      </c>
      <c r="C163" t="s">
        <v>11</v>
      </c>
      <c r="D163" t="s">
        <v>17</v>
      </c>
      <c r="E163">
        <v>7392.91</v>
      </c>
      <c r="F163">
        <v>7210.26</v>
      </c>
      <c r="G163">
        <v>120570</v>
      </c>
      <c r="H163">
        <v>1495</v>
      </c>
      <c r="I163">
        <v>104</v>
      </c>
      <c r="J163">
        <v>4891.61</v>
      </c>
    </row>
    <row r="164" spans="1:10">
      <c r="A164" t="s">
        <v>181</v>
      </c>
      <c r="B164" s="15">
        <v>45718</v>
      </c>
      <c r="C164" t="s">
        <v>24</v>
      </c>
      <c r="D164" t="s">
        <v>12</v>
      </c>
      <c r="E164">
        <v>3318.12</v>
      </c>
      <c r="F164">
        <v>2934.18</v>
      </c>
      <c r="G164">
        <v>173652</v>
      </c>
      <c r="H164">
        <v>3397</v>
      </c>
      <c r="I164">
        <v>329</v>
      </c>
      <c r="J164">
        <v>15960.56</v>
      </c>
    </row>
    <row r="165" spans="1:10">
      <c r="A165" t="s">
        <v>182</v>
      </c>
      <c r="B165" s="15">
        <v>45698</v>
      </c>
      <c r="C165" t="s">
        <v>22</v>
      </c>
      <c r="D165" t="s">
        <v>20</v>
      </c>
      <c r="E165">
        <v>9231.85</v>
      </c>
      <c r="F165">
        <v>8647.45</v>
      </c>
      <c r="G165">
        <v>53244</v>
      </c>
      <c r="H165">
        <v>1838</v>
      </c>
      <c r="I165">
        <v>273</v>
      </c>
      <c r="J165">
        <v>10538.89</v>
      </c>
    </row>
    <row r="166" spans="1:10">
      <c r="A166" t="s">
        <v>183</v>
      </c>
      <c r="B166" s="15">
        <v>45667</v>
      </c>
      <c r="C166" t="s">
        <v>11</v>
      </c>
      <c r="D166" t="s">
        <v>17</v>
      </c>
      <c r="E166">
        <v>4941.67</v>
      </c>
      <c r="F166">
        <v>4232.23</v>
      </c>
      <c r="G166">
        <v>197753</v>
      </c>
      <c r="H166">
        <v>3883</v>
      </c>
      <c r="I166">
        <v>619</v>
      </c>
      <c r="J166">
        <v>20990.88</v>
      </c>
    </row>
    <row r="167" spans="1:10">
      <c r="A167" t="s">
        <v>184</v>
      </c>
      <c r="B167" s="15">
        <v>45716</v>
      </c>
      <c r="C167" t="s">
        <v>19</v>
      </c>
      <c r="D167" t="s">
        <v>20</v>
      </c>
      <c r="E167">
        <v>5473.47</v>
      </c>
      <c r="F167">
        <v>5337.16</v>
      </c>
      <c r="G167">
        <v>95888</v>
      </c>
      <c r="H167">
        <v>2400</v>
      </c>
      <c r="I167">
        <v>189</v>
      </c>
      <c r="J167">
        <v>4220.76</v>
      </c>
    </row>
    <row r="168" spans="1:10">
      <c r="A168" t="s">
        <v>185</v>
      </c>
      <c r="B168" s="15">
        <v>45720</v>
      </c>
      <c r="C168" t="s">
        <v>22</v>
      </c>
      <c r="D168" t="s">
        <v>17</v>
      </c>
      <c r="E168">
        <v>9820.76</v>
      </c>
      <c r="F168">
        <v>10762.21</v>
      </c>
      <c r="G168">
        <v>130274</v>
      </c>
      <c r="H168">
        <v>3999</v>
      </c>
      <c r="I168">
        <v>83</v>
      </c>
      <c r="J168">
        <v>3398.42</v>
      </c>
    </row>
    <row r="169" spans="1:10">
      <c r="A169" t="s">
        <v>186</v>
      </c>
      <c r="B169" s="15">
        <v>45806</v>
      </c>
      <c r="C169" t="s">
        <v>14</v>
      </c>
      <c r="D169" t="s">
        <v>12</v>
      </c>
      <c r="E169">
        <v>6752.67</v>
      </c>
      <c r="F169">
        <v>6029.18</v>
      </c>
      <c r="G169">
        <v>53089</v>
      </c>
      <c r="H169">
        <v>1998</v>
      </c>
      <c r="I169">
        <v>204</v>
      </c>
      <c r="J169">
        <v>9060.43</v>
      </c>
    </row>
    <row r="170" spans="1:10">
      <c r="A170" t="s">
        <v>187</v>
      </c>
      <c r="B170" s="15">
        <v>45770</v>
      </c>
      <c r="C170" t="s">
        <v>24</v>
      </c>
      <c r="D170" t="s">
        <v>15</v>
      </c>
      <c r="E170">
        <v>7793.12</v>
      </c>
      <c r="F170">
        <v>6614.68</v>
      </c>
      <c r="G170">
        <v>110033</v>
      </c>
      <c r="H170">
        <v>3132</v>
      </c>
      <c r="I170">
        <v>85</v>
      </c>
      <c r="J170">
        <v>4022.86</v>
      </c>
    </row>
    <row r="171" spans="1:10">
      <c r="A171" t="s">
        <v>188</v>
      </c>
      <c r="B171" s="15">
        <v>45636</v>
      </c>
      <c r="C171" t="s">
        <v>19</v>
      </c>
      <c r="D171" t="s">
        <v>17</v>
      </c>
      <c r="E171">
        <v>8757.76</v>
      </c>
      <c r="F171">
        <v>9501.64</v>
      </c>
      <c r="G171">
        <v>75315</v>
      </c>
      <c r="H171">
        <v>1121</v>
      </c>
      <c r="I171">
        <v>85</v>
      </c>
      <c r="J171">
        <v>3550.58</v>
      </c>
    </row>
    <row r="172" spans="1:10">
      <c r="A172" t="s">
        <v>189</v>
      </c>
      <c r="B172" s="15">
        <v>45816</v>
      </c>
      <c r="C172" t="s">
        <v>14</v>
      </c>
      <c r="D172" t="s">
        <v>12</v>
      </c>
      <c r="E172">
        <v>7293.91</v>
      </c>
      <c r="F172">
        <v>6750.32</v>
      </c>
      <c r="G172">
        <v>194023</v>
      </c>
      <c r="H172">
        <v>9171</v>
      </c>
      <c r="I172">
        <v>1138</v>
      </c>
      <c r="J172">
        <v>54603.35</v>
      </c>
    </row>
    <row r="173" spans="1:10">
      <c r="A173" t="s">
        <v>190</v>
      </c>
      <c r="B173" s="15">
        <v>45713</v>
      </c>
      <c r="C173" t="s">
        <v>19</v>
      </c>
      <c r="D173" t="s">
        <v>20</v>
      </c>
      <c r="E173">
        <v>9062.45</v>
      </c>
      <c r="F173">
        <v>7372.9</v>
      </c>
      <c r="G173">
        <v>105156</v>
      </c>
      <c r="H173">
        <v>3813</v>
      </c>
      <c r="I173">
        <v>632</v>
      </c>
      <c r="J173">
        <v>13139.92</v>
      </c>
    </row>
    <row r="174" spans="1:10">
      <c r="A174" t="s">
        <v>191</v>
      </c>
      <c r="B174" s="15">
        <v>45781</v>
      </c>
      <c r="C174" t="s">
        <v>22</v>
      </c>
      <c r="D174" t="s">
        <v>17</v>
      </c>
      <c r="E174">
        <v>5635.24</v>
      </c>
      <c r="F174">
        <v>5878.49</v>
      </c>
      <c r="G174">
        <v>136337</v>
      </c>
      <c r="H174">
        <v>3490</v>
      </c>
      <c r="I174">
        <v>132</v>
      </c>
      <c r="J174">
        <v>6549.61</v>
      </c>
    </row>
    <row r="175" spans="1:10">
      <c r="A175" t="s">
        <v>192</v>
      </c>
      <c r="B175" s="15">
        <v>45708</v>
      </c>
      <c r="C175" t="s">
        <v>14</v>
      </c>
      <c r="D175" t="s">
        <v>20</v>
      </c>
      <c r="E175">
        <v>4052.92</v>
      </c>
      <c r="F175">
        <v>3964.73</v>
      </c>
      <c r="G175">
        <v>191309</v>
      </c>
      <c r="H175">
        <v>5182</v>
      </c>
      <c r="I175">
        <v>356</v>
      </c>
      <c r="J175">
        <v>11187.91</v>
      </c>
    </row>
    <row r="176" spans="1:10">
      <c r="A176" t="s">
        <v>193</v>
      </c>
      <c r="B176" s="15">
        <v>45637</v>
      </c>
      <c r="C176" t="s">
        <v>24</v>
      </c>
      <c r="D176" t="s">
        <v>20</v>
      </c>
      <c r="E176">
        <v>9789.4</v>
      </c>
      <c r="F176">
        <v>10304.67</v>
      </c>
      <c r="G176">
        <v>143568</v>
      </c>
      <c r="H176">
        <v>6593</v>
      </c>
      <c r="I176">
        <v>869</v>
      </c>
      <c r="J176">
        <v>39235.23</v>
      </c>
    </row>
    <row r="177" spans="1:10">
      <c r="A177" t="s">
        <v>194</v>
      </c>
      <c r="B177" s="15">
        <v>45790</v>
      </c>
      <c r="C177" t="s">
        <v>14</v>
      </c>
      <c r="D177" t="s">
        <v>12</v>
      </c>
      <c r="E177">
        <v>6280.85</v>
      </c>
      <c r="F177">
        <v>5806.31</v>
      </c>
      <c r="G177">
        <v>69711</v>
      </c>
      <c r="H177">
        <v>1173</v>
      </c>
      <c r="I177">
        <v>209</v>
      </c>
      <c r="J177">
        <v>5894.26</v>
      </c>
    </row>
    <row r="178" spans="1:10">
      <c r="A178" t="s">
        <v>195</v>
      </c>
      <c r="B178" s="15">
        <v>45766</v>
      </c>
      <c r="C178" t="s">
        <v>14</v>
      </c>
      <c r="D178" t="s">
        <v>17</v>
      </c>
      <c r="E178">
        <v>3394.63</v>
      </c>
      <c r="F178">
        <v>3596.33</v>
      </c>
      <c r="G178">
        <v>114949</v>
      </c>
      <c r="H178">
        <v>3456</v>
      </c>
      <c r="I178">
        <v>294</v>
      </c>
      <c r="J178">
        <v>13049.79</v>
      </c>
    </row>
    <row r="179" spans="1:10">
      <c r="A179" t="s">
        <v>196</v>
      </c>
      <c r="B179" s="15">
        <v>45768</v>
      </c>
      <c r="C179" t="s">
        <v>14</v>
      </c>
      <c r="D179" t="s">
        <v>17</v>
      </c>
      <c r="E179">
        <v>9998.02</v>
      </c>
      <c r="F179">
        <v>10987.73</v>
      </c>
      <c r="G179">
        <v>128670</v>
      </c>
      <c r="H179">
        <v>4786</v>
      </c>
      <c r="I179">
        <v>820</v>
      </c>
      <c r="J179">
        <v>30063.62</v>
      </c>
    </row>
    <row r="180" spans="1:10">
      <c r="A180" t="s">
        <v>197</v>
      </c>
      <c r="B180" s="15">
        <v>45646</v>
      </c>
      <c r="C180" t="s">
        <v>14</v>
      </c>
      <c r="D180" t="s">
        <v>15</v>
      </c>
      <c r="E180">
        <v>8382.91</v>
      </c>
      <c r="F180">
        <v>9082.29</v>
      </c>
      <c r="G180">
        <v>92405</v>
      </c>
      <c r="H180">
        <v>3028</v>
      </c>
      <c r="I180">
        <v>356</v>
      </c>
      <c r="J180">
        <v>16194.23</v>
      </c>
    </row>
    <row r="181" spans="1:10">
      <c r="A181" t="s">
        <v>198</v>
      </c>
      <c r="B181" s="15">
        <v>45708</v>
      </c>
      <c r="C181" t="s">
        <v>14</v>
      </c>
      <c r="D181" t="s">
        <v>12</v>
      </c>
      <c r="E181">
        <v>4731.44</v>
      </c>
      <c r="F181">
        <v>4424.67</v>
      </c>
      <c r="G181">
        <v>113689</v>
      </c>
      <c r="H181">
        <v>4258</v>
      </c>
      <c r="I181">
        <v>100</v>
      </c>
      <c r="J181">
        <v>2387.48</v>
      </c>
    </row>
    <row r="182" spans="1:10">
      <c r="A182" t="s">
        <v>199</v>
      </c>
      <c r="B182" s="15">
        <v>45696</v>
      </c>
      <c r="C182" t="s">
        <v>24</v>
      </c>
      <c r="D182" t="s">
        <v>17</v>
      </c>
      <c r="E182">
        <v>9678.36</v>
      </c>
      <c r="F182">
        <v>9502.72</v>
      </c>
      <c r="G182">
        <v>72317</v>
      </c>
      <c r="H182">
        <v>1429</v>
      </c>
      <c r="I182">
        <v>157</v>
      </c>
      <c r="J182">
        <v>4216.91</v>
      </c>
    </row>
    <row r="183" spans="1:10">
      <c r="A183" t="s">
        <v>200</v>
      </c>
      <c r="B183" s="15">
        <v>45715</v>
      </c>
      <c r="C183" t="s">
        <v>19</v>
      </c>
      <c r="D183" t="s">
        <v>15</v>
      </c>
      <c r="E183">
        <v>7701.9</v>
      </c>
      <c r="F183">
        <v>7589.75</v>
      </c>
      <c r="G183">
        <v>59223</v>
      </c>
      <c r="H183">
        <v>1286</v>
      </c>
      <c r="I183">
        <v>233</v>
      </c>
      <c r="J183">
        <v>7163.56</v>
      </c>
    </row>
    <row r="184" spans="1:10">
      <c r="A184" t="s">
        <v>201</v>
      </c>
      <c r="B184" s="15">
        <v>45702</v>
      </c>
      <c r="C184" t="s">
        <v>19</v>
      </c>
      <c r="D184" t="s">
        <v>20</v>
      </c>
      <c r="E184">
        <v>3794.9</v>
      </c>
      <c r="F184">
        <v>3800.49</v>
      </c>
      <c r="G184">
        <v>123058</v>
      </c>
      <c r="H184">
        <v>4679</v>
      </c>
      <c r="I184">
        <v>186</v>
      </c>
      <c r="J184">
        <v>6623.32</v>
      </c>
    </row>
    <row r="185" spans="1:10">
      <c r="A185" t="s">
        <v>202</v>
      </c>
      <c r="B185" s="15">
        <v>45665</v>
      </c>
      <c r="C185" t="s">
        <v>19</v>
      </c>
      <c r="D185" t="s">
        <v>17</v>
      </c>
      <c r="E185">
        <v>8406.23</v>
      </c>
      <c r="F185">
        <v>8036.77</v>
      </c>
      <c r="G185">
        <v>133482</v>
      </c>
      <c r="H185">
        <v>2397</v>
      </c>
      <c r="I185">
        <v>50</v>
      </c>
      <c r="J185">
        <v>2278.27</v>
      </c>
    </row>
    <row r="186" spans="1:10">
      <c r="A186" t="s">
        <v>203</v>
      </c>
      <c r="B186" s="15">
        <v>45765</v>
      </c>
      <c r="C186" t="s">
        <v>11</v>
      </c>
      <c r="D186" t="s">
        <v>15</v>
      </c>
      <c r="E186">
        <v>6863.35</v>
      </c>
      <c r="F186">
        <v>6645.65</v>
      </c>
      <c r="G186">
        <v>130705</v>
      </c>
      <c r="H186">
        <v>4818</v>
      </c>
      <c r="I186">
        <v>159</v>
      </c>
      <c r="J186">
        <v>7361.64</v>
      </c>
    </row>
    <row r="187" spans="1:10">
      <c r="A187" t="s">
        <v>204</v>
      </c>
      <c r="B187" s="15">
        <v>45729</v>
      </c>
      <c r="C187" t="s">
        <v>22</v>
      </c>
      <c r="D187" t="s">
        <v>12</v>
      </c>
      <c r="E187">
        <v>5824.38</v>
      </c>
      <c r="F187">
        <v>4893.67</v>
      </c>
      <c r="G187">
        <v>168213</v>
      </c>
      <c r="H187">
        <v>2627</v>
      </c>
      <c r="I187">
        <v>160</v>
      </c>
      <c r="J187">
        <v>3338.16</v>
      </c>
    </row>
    <row r="188" spans="1:10">
      <c r="A188" t="s">
        <v>205</v>
      </c>
      <c r="B188" s="15">
        <v>45759</v>
      </c>
      <c r="C188" t="s">
        <v>11</v>
      </c>
      <c r="D188" t="s">
        <v>12</v>
      </c>
      <c r="E188">
        <v>8285.96</v>
      </c>
      <c r="F188">
        <v>8170.73</v>
      </c>
      <c r="G188">
        <v>55771</v>
      </c>
      <c r="H188">
        <v>1773</v>
      </c>
      <c r="I188">
        <v>177</v>
      </c>
      <c r="J188">
        <v>7278.66</v>
      </c>
    </row>
    <row r="189" spans="1:10">
      <c r="A189" t="s">
        <v>206</v>
      </c>
      <c r="B189" s="15">
        <v>45725</v>
      </c>
      <c r="C189" t="s">
        <v>19</v>
      </c>
      <c r="D189" t="s">
        <v>15</v>
      </c>
      <c r="E189">
        <v>4490.75</v>
      </c>
      <c r="F189">
        <v>3776.32</v>
      </c>
      <c r="G189">
        <v>158774</v>
      </c>
      <c r="H189">
        <v>5263</v>
      </c>
      <c r="I189">
        <v>268</v>
      </c>
      <c r="J189">
        <v>5476.94</v>
      </c>
    </row>
    <row r="190" spans="1:10">
      <c r="A190" t="s">
        <v>207</v>
      </c>
      <c r="B190" s="15">
        <v>45643</v>
      </c>
      <c r="C190" t="s">
        <v>11</v>
      </c>
      <c r="D190" t="s">
        <v>20</v>
      </c>
      <c r="E190">
        <v>5454.11</v>
      </c>
      <c r="F190">
        <v>5328.53</v>
      </c>
      <c r="G190">
        <v>167161</v>
      </c>
      <c r="H190">
        <v>1156</v>
      </c>
      <c r="I190">
        <v>85</v>
      </c>
      <c r="J190">
        <v>2700.22</v>
      </c>
    </row>
    <row r="191" spans="1:10">
      <c r="A191" t="s">
        <v>208</v>
      </c>
      <c r="B191" s="15">
        <v>45804</v>
      </c>
      <c r="C191" t="s">
        <v>14</v>
      </c>
      <c r="D191" t="s">
        <v>17</v>
      </c>
      <c r="E191">
        <v>6062.32</v>
      </c>
      <c r="F191">
        <v>6494.25</v>
      </c>
      <c r="G191">
        <v>54315</v>
      </c>
      <c r="H191">
        <v>1126</v>
      </c>
      <c r="I191">
        <v>180</v>
      </c>
      <c r="J191">
        <v>5480.58</v>
      </c>
    </row>
    <row r="192" spans="1:10">
      <c r="A192" t="s">
        <v>209</v>
      </c>
      <c r="B192" s="15">
        <v>45703</v>
      </c>
      <c r="C192" t="s">
        <v>22</v>
      </c>
      <c r="D192" t="s">
        <v>12</v>
      </c>
      <c r="E192">
        <v>6597.93</v>
      </c>
      <c r="F192">
        <v>6829.49</v>
      </c>
      <c r="G192">
        <v>112474</v>
      </c>
      <c r="H192">
        <v>3364</v>
      </c>
      <c r="I192">
        <v>62</v>
      </c>
      <c r="J192">
        <v>1977.57</v>
      </c>
    </row>
    <row r="193" spans="1:10">
      <c r="A193" t="s">
        <v>210</v>
      </c>
      <c r="B193" s="15">
        <v>45673</v>
      </c>
      <c r="C193" t="s">
        <v>14</v>
      </c>
      <c r="D193" t="s">
        <v>20</v>
      </c>
      <c r="E193">
        <v>7354.61</v>
      </c>
      <c r="F193">
        <v>7786.39</v>
      </c>
      <c r="G193">
        <v>76227</v>
      </c>
      <c r="H193">
        <v>3059</v>
      </c>
      <c r="I193">
        <v>504</v>
      </c>
      <c r="J193">
        <v>24436.75</v>
      </c>
    </row>
    <row r="194" spans="1:10">
      <c r="A194" t="s">
        <v>211</v>
      </c>
      <c r="B194" s="15">
        <v>45747</v>
      </c>
      <c r="C194" t="s">
        <v>19</v>
      </c>
      <c r="D194" t="s">
        <v>20</v>
      </c>
      <c r="E194">
        <v>4029.51</v>
      </c>
      <c r="F194">
        <v>4343.72</v>
      </c>
      <c r="G194">
        <v>85573</v>
      </c>
      <c r="H194">
        <v>1887</v>
      </c>
      <c r="I194">
        <v>171</v>
      </c>
      <c r="J194">
        <v>5944.56</v>
      </c>
    </row>
    <row r="195" spans="1:10">
      <c r="A195" t="s">
        <v>212</v>
      </c>
      <c r="B195" s="15">
        <v>45641</v>
      </c>
      <c r="C195" t="s">
        <v>24</v>
      </c>
      <c r="D195" t="s">
        <v>15</v>
      </c>
      <c r="E195">
        <v>4807.71</v>
      </c>
      <c r="F195">
        <v>4508.39</v>
      </c>
      <c r="G195">
        <v>156215</v>
      </c>
      <c r="H195">
        <v>6524</v>
      </c>
      <c r="I195">
        <v>641</v>
      </c>
      <c r="J195">
        <v>31666.03</v>
      </c>
    </row>
    <row r="196" spans="1:10">
      <c r="A196" t="s">
        <v>213</v>
      </c>
      <c r="B196" s="15">
        <v>45817</v>
      </c>
      <c r="C196" t="s">
        <v>14</v>
      </c>
      <c r="D196" t="s">
        <v>20</v>
      </c>
      <c r="E196">
        <v>6448.33</v>
      </c>
      <c r="F196">
        <v>5794.63</v>
      </c>
      <c r="G196">
        <v>83163</v>
      </c>
      <c r="H196">
        <v>2401</v>
      </c>
      <c r="I196">
        <v>165</v>
      </c>
      <c r="J196">
        <v>6435.33</v>
      </c>
    </row>
    <row r="197" spans="1:10">
      <c r="A197" t="s">
        <v>214</v>
      </c>
      <c r="B197" s="15">
        <v>45776</v>
      </c>
      <c r="C197" t="s">
        <v>22</v>
      </c>
      <c r="D197" t="s">
        <v>20</v>
      </c>
      <c r="E197">
        <v>4681.02</v>
      </c>
      <c r="F197">
        <v>3851.35</v>
      </c>
      <c r="G197">
        <v>122395</v>
      </c>
      <c r="H197">
        <v>3701</v>
      </c>
      <c r="I197">
        <v>421</v>
      </c>
      <c r="J197">
        <v>10047.75</v>
      </c>
    </row>
    <row r="198" spans="1:10">
      <c r="A198" t="s">
        <v>215</v>
      </c>
      <c r="B198" s="15">
        <v>45680</v>
      </c>
      <c r="C198" t="s">
        <v>11</v>
      </c>
      <c r="D198" t="s">
        <v>17</v>
      </c>
      <c r="E198">
        <v>3896.32</v>
      </c>
      <c r="F198">
        <v>3294.61</v>
      </c>
      <c r="G198">
        <v>148880</v>
      </c>
      <c r="H198">
        <v>1344</v>
      </c>
      <c r="I198">
        <v>233</v>
      </c>
      <c r="J198">
        <v>5630.4</v>
      </c>
    </row>
    <row r="199" spans="1:10">
      <c r="A199" t="s">
        <v>216</v>
      </c>
      <c r="B199" s="15">
        <v>45638</v>
      </c>
      <c r="C199" t="s">
        <v>22</v>
      </c>
      <c r="D199" t="s">
        <v>20</v>
      </c>
      <c r="E199">
        <v>7486.12</v>
      </c>
      <c r="F199">
        <v>6397.37</v>
      </c>
      <c r="G199">
        <v>150378</v>
      </c>
      <c r="H199">
        <v>1516</v>
      </c>
      <c r="I199">
        <v>269</v>
      </c>
      <c r="J199">
        <v>8169.53</v>
      </c>
    </row>
    <row r="200" spans="1:10">
      <c r="A200" t="s">
        <v>217</v>
      </c>
      <c r="B200" s="15">
        <v>45726</v>
      </c>
      <c r="C200" t="s">
        <v>19</v>
      </c>
      <c r="D200" t="s">
        <v>17</v>
      </c>
      <c r="E200">
        <v>9277.52</v>
      </c>
      <c r="F200">
        <v>8741.17</v>
      </c>
      <c r="G200">
        <v>141253</v>
      </c>
      <c r="H200">
        <v>2934</v>
      </c>
      <c r="I200">
        <v>357</v>
      </c>
      <c r="J200">
        <v>14289.54</v>
      </c>
    </row>
    <row r="201" spans="1:10">
      <c r="A201" t="s">
        <v>218</v>
      </c>
      <c r="B201" s="15">
        <v>45758</v>
      </c>
      <c r="C201" t="s">
        <v>24</v>
      </c>
      <c r="D201" t="s">
        <v>15</v>
      </c>
      <c r="E201">
        <v>4206.24</v>
      </c>
      <c r="F201">
        <v>3607.64</v>
      </c>
      <c r="G201">
        <v>171015</v>
      </c>
      <c r="H201">
        <v>7567</v>
      </c>
      <c r="I201">
        <v>1110</v>
      </c>
      <c r="J201">
        <v>23560.92</v>
      </c>
    </row>
    <row r="202" spans="1:10">
      <c r="A202" t="s">
        <v>219</v>
      </c>
      <c r="B202" s="15">
        <v>45807</v>
      </c>
      <c r="C202" t="s">
        <v>22</v>
      </c>
      <c r="D202" t="s">
        <v>15</v>
      </c>
      <c r="E202">
        <v>4182.55</v>
      </c>
      <c r="F202">
        <v>3695.61</v>
      </c>
      <c r="G202">
        <v>127713</v>
      </c>
      <c r="H202">
        <v>1869</v>
      </c>
      <c r="I202">
        <v>349</v>
      </c>
      <c r="J202">
        <v>8833.3</v>
      </c>
    </row>
    <row r="203" spans="1:10">
      <c r="A203" t="s">
        <v>220</v>
      </c>
      <c r="B203" s="15">
        <v>45816</v>
      </c>
      <c r="C203" t="s">
        <v>19</v>
      </c>
      <c r="D203" t="s">
        <v>15</v>
      </c>
      <c r="E203">
        <v>3620.92</v>
      </c>
      <c r="F203">
        <v>3027.78</v>
      </c>
      <c r="G203">
        <v>95400</v>
      </c>
      <c r="H203">
        <v>1371</v>
      </c>
      <c r="I203">
        <v>250</v>
      </c>
      <c r="J203">
        <v>8455.84</v>
      </c>
    </row>
    <row r="204" spans="1:10">
      <c r="A204" t="s">
        <v>221</v>
      </c>
      <c r="B204" s="15">
        <v>45647</v>
      </c>
      <c r="C204" t="s">
        <v>11</v>
      </c>
      <c r="D204" t="s">
        <v>12</v>
      </c>
      <c r="E204">
        <v>4444.34</v>
      </c>
      <c r="F204">
        <v>4041.15</v>
      </c>
      <c r="G204">
        <v>154562</v>
      </c>
      <c r="H204">
        <v>4028</v>
      </c>
      <c r="I204">
        <v>250</v>
      </c>
      <c r="J204">
        <v>8775.63</v>
      </c>
    </row>
    <row r="205" spans="1:10">
      <c r="A205" t="s">
        <v>222</v>
      </c>
      <c r="B205" s="15">
        <v>45780</v>
      </c>
      <c r="C205" t="s">
        <v>19</v>
      </c>
      <c r="D205" t="s">
        <v>20</v>
      </c>
      <c r="E205">
        <v>7832.76</v>
      </c>
      <c r="F205">
        <v>6358.58</v>
      </c>
      <c r="G205">
        <v>100148</v>
      </c>
      <c r="H205">
        <v>1610</v>
      </c>
      <c r="I205">
        <v>112</v>
      </c>
      <c r="J205">
        <v>4926.02</v>
      </c>
    </row>
    <row r="206" spans="1:10">
      <c r="A206" t="s">
        <v>223</v>
      </c>
      <c r="B206" s="15">
        <v>45715</v>
      </c>
      <c r="C206" t="s">
        <v>11</v>
      </c>
      <c r="D206" t="s">
        <v>15</v>
      </c>
      <c r="E206">
        <v>7395.3</v>
      </c>
      <c r="F206">
        <v>6097.63</v>
      </c>
      <c r="G206">
        <v>109858</v>
      </c>
      <c r="H206">
        <v>3804</v>
      </c>
      <c r="I206">
        <v>713</v>
      </c>
      <c r="J206">
        <v>32945.85</v>
      </c>
    </row>
    <row r="207" spans="1:10">
      <c r="A207" t="s">
        <v>224</v>
      </c>
      <c r="B207" s="15">
        <v>45762</v>
      </c>
      <c r="C207" t="s">
        <v>24</v>
      </c>
      <c r="D207" t="s">
        <v>15</v>
      </c>
      <c r="E207">
        <v>9446.11</v>
      </c>
      <c r="F207">
        <v>7729.97</v>
      </c>
      <c r="G207">
        <v>158340</v>
      </c>
      <c r="H207">
        <v>2273</v>
      </c>
      <c r="I207">
        <v>434</v>
      </c>
      <c r="J207">
        <v>12284.95</v>
      </c>
    </row>
    <row r="208" spans="1:10">
      <c r="A208" t="s">
        <v>225</v>
      </c>
      <c r="B208" s="15">
        <v>45769</v>
      </c>
      <c r="C208" t="s">
        <v>19</v>
      </c>
      <c r="D208" t="s">
        <v>20</v>
      </c>
      <c r="E208">
        <v>8643.41</v>
      </c>
      <c r="F208">
        <v>8854.98</v>
      </c>
      <c r="G208">
        <v>114026</v>
      </c>
      <c r="H208">
        <v>4773</v>
      </c>
      <c r="I208">
        <v>185</v>
      </c>
      <c r="J208">
        <v>4724.09</v>
      </c>
    </row>
    <row r="209" spans="1:10">
      <c r="A209" t="s">
        <v>226</v>
      </c>
      <c r="B209" s="15">
        <v>45796</v>
      </c>
      <c r="C209" t="s">
        <v>24</v>
      </c>
      <c r="D209" t="s">
        <v>15</v>
      </c>
      <c r="E209">
        <v>4465.45</v>
      </c>
      <c r="F209">
        <v>4068.66</v>
      </c>
      <c r="G209">
        <v>188606</v>
      </c>
      <c r="H209">
        <v>1714</v>
      </c>
      <c r="I209">
        <v>194</v>
      </c>
      <c r="J209">
        <v>6699.92</v>
      </c>
    </row>
    <row r="210" spans="1:10">
      <c r="A210" t="s">
        <v>227</v>
      </c>
      <c r="B210" s="15">
        <v>45802</v>
      </c>
      <c r="C210" t="s">
        <v>22</v>
      </c>
      <c r="D210" t="s">
        <v>15</v>
      </c>
      <c r="E210">
        <v>7327.78</v>
      </c>
      <c r="F210">
        <v>6673.22</v>
      </c>
      <c r="G210">
        <v>137418</v>
      </c>
      <c r="H210">
        <v>4255</v>
      </c>
      <c r="I210">
        <v>107</v>
      </c>
      <c r="J210">
        <v>3624.74</v>
      </c>
    </row>
    <row r="211" spans="1:10">
      <c r="A211" t="s">
        <v>228</v>
      </c>
      <c r="B211" s="15">
        <v>45637</v>
      </c>
      <c r="C211" t="s">
        <v>22</v>
      </c>
      <c r="D211" t="s">
        <v>20</v>
      </c>
      <c r="E211">
        <v>8232.3</v>
      </c>
      <c r="F211">
        <v>6676.44</v>
      </c>
      <c r="G211">
        <v>195298</v>
      </c>
      <c r="H211">
        <v>3830</v>
      </c>
      <c r="I211">
        <v>340</v>
      </c>
      <c r="J211">
        <v>9374.86</v>
      </c>
    </row>
    <row r="212" spans="1:10">
      <c r="A212" t="s">
        <v>229</v>
      </c>
      <c r="B212" s="15">
        <v>45746</v>
      </c>
      <c r="C212" t="s">
        <v>22</v>
      </c>
      <c r="D212" t="s">
        <v>15</v>
      </c>
      <c r="E212">
        <v>7993.45</v>
      </c>
      <c r="F212">
        <v>8541.5</v>
      </c>
      <c r="G212">
        <v>191329</v>
      </c>
      <c r="H212">
        <v>5806</v>
      </c>
      <c r="I212">
        <v>454</v>
      </c>
      <c r="J212">
        <v>16049.05</v>
      </c>
    </row>
    <row r="213" spans="1:10">
      <c r="A213" t="s">
        <v>230</v>
      </c>
      <c r="B213" s="15">
        <v>45793</v>
      </c>
      <c r="C213" t="s">
        <v>24</v>
      </c>
      <c r="D213" t="s">
        <v>12</v>
      </c>
      <c r="E213">
        <v>6724.79</v>
      </c>
      <c r="F213">
        <v>5596.04</v>
      </c>
      <c r="G213">
        <v>118663</v>
      </c>
      <c r="H213">
        <v>2481</v>
      </c>
      <c r="I213">
        <v>397</v>
      </c>
      <c r="J213">
        <v>13268.68</v>
      </c>
    </row>
    <row r="214" spans="1:10">
      <c r="A214" t="s">
        <v>231</v>
      </c>
      <c r="B214" s="15">
        <v>45770</v>
      </c>
      <c r="C214" t="s">
        <v>24</v>
      </c>
      <c r="D214" t="s">
        <v>20</v>
      </c>
      <c r="E214">
        <v>6728.32</v>
      </c>
      <c r="F214">
        <v>5872.08</v>
      </c>
      <c r="G214">
        <v>55825</v>
      </c>
      <c r="H214">
        <v>2436</v>
      </c>
      <c r="I214">
        <v>144</v>
      </c>
      <c r="J214">
        <v>4043.13</v>
      </c>
    </row>
    <row r="215" spans="1:10">
      <c r="A215" t="s">
        <v>232</v>
      </c>
      <c r="B215" s="15">
        <v>45658</v>
      </c>
      <c r="C215" t="s">
        <v>22</v>
      </c>
      <c r="D215" t="s">
        <v>17</v>
      </c>
      <c r="E215">
        <v>5640.99</v>
      </c>
      <c r="F215">
        <v>4546.76</v>
      </c>
      <c r="G215">
        <v>53730</v>
      </c>
      <c r="H215">
        <v>2251</v>
      </c>
      <c r="I215">
        <v>253</v>
      </c>
      <c r="J215">
        <v>7504.58</v>
      </c>
    </row>
    <row r="216" spans="1:10">
      <c r="A216" t="s">
        <v>233</v>
      </c>
      <c r="B216" s="15">
        <v>45636</v>
      </c>
      <c r="C216" t="s">
        <v>11</v>
      </c>
      <c r="D216" t="s">
        <v>12</v>
      </c>
      <c r="E216">
        <v>4480.14</v>
      </c>
      <c r="F216">
        <v>4024.28</v>
      </c>
      <c r="G216">
        <v>177951</v>
      </c>
      <c r="H216">
        <v>3898</v>
      </c>
      <c r="I216">
        <v>283</v>
      </c>
      <c r="J216">
        <v>6676.78</v>
      </c>
    </row>
    <row r="217" spans="1:10">
      <c r="A217" t="s">
        <v>234</v>
      </c>
      <c r="B217" s="15">
        <v>45771</v>
      </c>
      <c r="C217" t="s">
        <v>11</v>
      </c>
      <c r="D217" t="s">
        <v>12</v>
      </c>
      <c r="E217">
        <v>9233.69</v>
      </c>
      <c r="F217">
        <v>9031.27</v>
      </c>
      <c r="G217">
        <v>52910</v>
      </c>
      <c r="H217">
        <v>1772</v>
      </c>
      <c r="I217">
        <v>184</v>
      </c>
      <c r="J217">
        <v>7428.64</v>
      </c>
    </row>
    <row r="218" spans="1:10">
      <c r="A218" t="s">
        <v>235</v>
      </c>
      <c r="B218" s="15">
        <v>45656</v>
      </c>
      <c r="C218" t="s">
        <v>24</v>
      </c>
      <c r="D218" t="s">
        <v>17</v>
      </c>
      <c r="E218">
        <v>8524.2</v>
      </c>
      <c r="F218">
        <v>8094.01</v>
      </c>
      <c r="G218">
        <v>57737</v>
      </c>
      <c r="H218">
        <v>1530</v>
      </c>
      <c r="I218">
        <v>286</v>
      </c>
      <c r="J218">
        <v>6465.78</v>
      </c>
    </row>
    <row r="219" spans="1:10">
      <c r="A219" t="s">
        <v>236</v>
      </c>
      <c r="B219" s="15">
        <v>45689</v>
      </c>
      <c r="C219" t="s">
        <v>19</v>
      </c>
      <c r="D219" t="s">
        <v>20</v>
      </c>
      <c r="E219">
        <v>6759.75</v>
      </c>
      <c r="F219">
        <v>6597.87</v>
      </c>
      <c r="G219">
        <v>167465</v>
      </c>
      <c r="H219">
        <v>5881</v>
      </c>
      <c r="I219">
        <v>966</v>
      </c>
      <c r="J219">
        <v>40922.84</v>
      </c>
    </row>
    <row r="220" spans="1:10">
      <c r="A220" t="s">
        <v>237</v>
      </c>
      <c r="B220" s="15">
        <v>45727</v>
      </c>
      <c r="C220" t="s">
        <v>24</v>
      </c>
      <c r="D220" t="s">
        <v>12</v>
      </c>
      <c r="E220">
        <v>6021.62</v>
      </c>
      <c r="F220">
        <v>5047.77</v>
      </c>
      <c r="G220">
        <v>133310</v>
      </c>
      <c r="H220">
        <v>4783</v>
      </c>
      <c r="I220">
        <v>857</v>
      </c>
      <c r="J220">
        <v>24435.88</v>
      </c>
    </row>
    <row r="221" spans="1:10">
      <c r="A221" t="s">
        <v>238</v>
      </c>
      <c r="B221" s="15">
        <v>45707</v>
      </c>
      <c r="C221" t="s">
        <v>24</v>
      </c>
      <c r="D221" t="s">
        <v>12</v>
      </c>
      <c r="E221">
        <v>5541.58</v>
      </c>
      <c r="F221">
        <v>5507.08</v>
      </c>
      <c r="G221">
        <v>113210</v>
      </c>
      <c r="H221">
        <v>1277</v>
      </c>
      <c r="I221">
        <v>208</v>
      </c>
      <c r="J221">
        <v>7721.66</v>
      </c>
    </row>
    <row r="222" spans="1:10">
      <c r="A222" t="s">
        <v>239</v>
      </c>
      <c r="B222" s="15">
        <v>45744</v>
      </c>
      <c r="C222" t="s">
        <v>22</v>
      </c>
      <c r="D222" t="s">
        <v>15</v>
      </c>
      <c r="E222">
        <v>5492.68</v>
      </c>
      <c r="F222">
        <v>6019.73</v>
      </c>
      <c r="G222">
        <v>186208</v>
      </c>
      <c r="H222">
        <v>1504</v>
      </c>
      <c r="I222">
        <v>92</v>
      </c>
      <c r="J222">
        <v>3511.94</v>
      </c>
    </row>
    <row r="223" spans="1:10">
      <c r="A223" t="s">
        <v>240</v>
      </c>
      <c r="B223" s="15">
        <v>45790</v>
      </c>
      <c r="C223" t="s">
        <v>24</v>
      </c>
      <c r="D223" t="s">
        <v>15</v>
      </c>
      <c r="E223">
        <v>4660.59</v>
      </c>
      <c r="F223">
        <v>3870.78</v>
      </c>
      <c r="G223">
        <v>197176</v>
      </c>
      <c r="H223">
        <v>7746</v>
      </c>
      <c r="I223">
        <v>512</v>
      </c>
      <c r="J223">
        <v>12587.92</v>
      </c>
    </row>
    <row r="224" spans="1:10">
      <c r="A224" t="s">
        <v>241</v>
      </c>
      <c r="B224" s="15">
        <v>45675</v>
      </c>
      <c r="C224" t="s">
        <v>24</v>
      </c>
      <c r="D224" t="s">
        <v>12</v>
      </c>
      <c r="E224">
        <v>4721.7</v>
      </c>
      <c r="F224">
        <v>4004.97</v>
      </c>
      <c r="G224">
        <v>138708</v>
      </c>
      <c r="H224">
        <v>3409</v>
      </c>
      <c r="I224">
        <v>272</v>
      </c>
      <c r="J224">
        <v>6962.39</v>
      </c>
    </row>
    <row r="225" spans="1:10">
      <c r="A225" t="s">
        <v>242</v>
      </c>
      <c r="B225" s="15">
        <v>45751</v>
      </c>
      <c r="C225" t="s">
        <v>14</v>
      </c>
      <c r="D225" t="s">
        <v>15</v>
      </c>
      <c r="E225">
        <v>4995.67</v>
      </c>
      <c r="F225">
        <v>4256.37</v>
      </c>
      <c r="G225">
        <v>198805</v>
      </c>
      <c r="H225">
        <v>7934</v>
      </c>
      <c r="I225">
        <v>818</v>
      </c>
      <c r="J225">
        <v>38366.62</v>
      </c>
    </row>
    <row r="226" spans="1:10">
      <c r="A226" t="s">
        <v>243</v>
      </c>
      <c r="B226" s="15">
        <v>45806</v>
      </c>
      <c r="C226" t="s">
        <v>11</v>
      </c>
      <c r="D226" t="s">
        <v>20</v>
      </c>
      <c r="E226">
        <v>3561.64</v>
      </c>
      <c r="F226">
        <v>3409.75</v>
      </c>
      <c r="G226">
        <v>89656</v>
      </c>
      <c r="H226">
        <v>1499</v>
      </c>
      <c r="I226">
        <v>94</v>
      </c>
      <c r="J226">
        <v>3037.32</v>
      </c>
    </row>
    <row r="227" spans="1:10">
      <c r="A227" t="s">
        <v>244</v>
      </c>
      <c r="B227" s="15">
        <v>45643</v>
      </c>
      <c r="C227" t="s">
        <v>19</v>
      </c>
      <c r="D227" t="s">
        <v>20</v>
      </c>
      <c r="E227">
        <v>9876.65</v>
      </c>
      <c r="F227">
        <v>8233.29</v>
      </c>
      <c r="G227">
        <v>99291</v>
      </c>
      <c r="H227">
        <v>1323</v>
      </c>
      <c r="I227">
        <v>252</v>
      </c>
      <c r="J227">
        <v>8047.79</v>
      </c>
    </row>
    <row r="228" spans="1:10">
      <c r="A228" t="s">
        <v>245</v>
      </c>
      <c r="B228" s="15">
        <v>45709</v>
      </c>
      <c r="C228" t="s">
        <v>22</v>
      </c>
      <c r="D228" t="s">
        <v>17</v>
      </c>
      <c r="E228">
        <v>9786.29</v>
      </c>
      <c r="F228">
        <v>10370.06</v>
      </c>
      <c r="G228">
        <v>111502</v>
      </c>
      <c r="H228">
        <v>5082</v>
      </c>
      <c r="I228">
        <v>149</v>
      </c>
      <c r="J228">
        <v>6632.31</v>
      </c>
    </row>
    <row r="229" spans="1:10">
      <c r="A229" t="s">
        <v>246</v>
      </c>
      <c r="B229" s="15">
        <v>45703</v>
      </c>
      <c r="C229" t="s">
        <v>22</v>
      </c>
      <c r="D229" t="s">
        <v>12</v>
      </c>
      <c r="E229">
        <v>4805.32</v>
      </c>
      <c r="F229">
        <v>4090.61</v>
      </c>
      <c r="G229">
        <v>85109</v>
      </c>
      <c r="H229">
        <v>1336</v>
      </c>
      <c r="I229">
        <v>153</v>
      </c>
      <c r="J229">
        <v>6129.07</v>
      </c>
    </row>
    <row r="230" spans="1:10">
      <c r="A230" t="s">
        <v>247</v>
      </c>
      <c r="B230" s="15">
        <v>45645</v>
      </c>
      <c r="C230" t="s">
        <v>11</v>
      </c>
      <c r="D230" t="s">
        <v>12</v>
      </c>
      <c r="E230">
        <v>9505.63</v>
      </c>
      <c r="F230">
        <v>9192.22</v>
      </c>
      <c r="G230">
        <v>92367</v>
      </c>
      <c r="H230">
        <v>1602</v>
      </c>
      <c r="I230">
        <v>166</v>
      </c>
      <c r="J230">
        <v>6166.63</v>
      </c>
    </row>
    <row r="231" spans="1:10">
      <c r="A231" t="s">
        <v>248</v>
      </c>
      <c r="B231" s="15">
        <v>45792</v>
      </c>
      <c r="C231" t="s">
        <v>19</v>
      </c>
      <c r="D231" t="s">
        <v>15</v>
      </c>
      <c r="E231">
        <v>4959.85</v>
      </c>
      <c r="F231">
        <v>5112.85</v>
      </c>
      <c r="G231">
        <v>149385</v>
      </c>
      <c r="H231">
        <v>1524</v>
      </c>
      <c r="I231">
        <v>60</v>
      </c>
      <c r="J231">
        <v>1536.68</v>
      </c>
    </row>
    <row r="232" spans="1:10">
      <c r="A232" t="s">
        <v>249</v>
      </c>
      <c r="B232" s="15">
        <v>45774</v>
      </c>
      <c r="C232" t="s">
        <v>19</v>
      </c>
      <c r="D232" t="s">
        <v>17</v>
      </c>
      <c r="E232">
        <v>5265.75</v>
      </c>
      <c r="F232">
        <v>4884.67</v>
      </c>
      <c r="G232">
        <v>134522</v>
      </c>
      <c r="H232">
        <v>2228</v>
      </c>
      <c r="I232">
        <v>403</v>
      </c>
      <c r="J232">
        <v>14197.01</v>
      </c>
    </row>
    <row r="233" spans="1:10">
      <c r="A233" t="s">
        <v>250</v>
      </c>
      <c r="B233" s="15">
        <v>45734</v>
      </c>
      <c r="C233" t="s">
        <v>11</v>
      </c>
      <c r="D233" t="s">
        <v>20</v>
      </c>
      <c r="E233">
        <v>4696.87</v>
      </c>
      <c r="F233">
        <v>3919.31</v>
      </c>
      <c r="G233">
        <v>178747</v>
      </c>
      <c r="H233">
        <v>7649</v>
      </c>
      <c r="I233">
        <v>235</v>
      </c>
      <c r="J233">
        <v>9004.87</v>
      </c>
    </row>
    <row r="234" spans="1:10">
      <c r="A234" t="s">
        <v>251</v>
      </c>
      <c r="B234" s="15">
        <v>45796</v>
      </c>
      <c r="C234" t="s">
        <v>22</v>
      </c>
      <c r="D234" t="s">
        <v>15</v>
      </c>
      <c r="E234">
        <v>5020.41</v>
      </c>
      <c r="F234">
        <v>4891.74</v>
      </c>
      <c r="G234">
        <v>73811</v>
      </c>
      <c r="H234">
        <v>3452</v>
      </c>
      <c r="I234">
        <v>224</v>
      </c>
      <c r="J234">
        <v>5517.32</v>
      </c>
    </row>
    <row r="235" spans="1:10">
      <c r="A235" t="s">
        <v>252</v>
      </c>
      <c r="B235" s="15">
        <v>45771</v>
      </c>
      <c r="C235" t="s">
        <v>11</v>
      </c>
      <c r="D235" t="s">
        <v>20</v>
      </c>
      <c r="E235">
        <v>6367.98</v>
      </c>
      <c r="F235">
        <v>6111.84</v>
      </c>
      <c r="G235">
        <v>61124</v>
      </c>
      <c r="H235">
        <v>2912</v>
      </c>
      <c r="I235">
        <v>312</v>
      </c>
      <c r="J235">
        <v>6725.07</v>
      </c>
    </row>
    <row r="236" spans="1:10">
      <c r="A236" t="s">
        <v>253</v>
      </c>
      <c r="B236" s="15">
        <v>45749</v>
      </c>
      <c r="C236" t="s">
        <v>24</v>
      </c>
      <c r="D236" t="s">
        <v>12</v>
      </c>
      <c r="E236">
        <v>5356.23</v>
      </c>
      <c r="F236">
        <v>4500.97</v>
      </c>
      <c r="G236">
        <v>65992</v>
      </c>
      <c r="H236">
        <v>3184</v>
      </c>
      <c r="I236">
        <v>311</v>
      </c>
      <c r="J236">
        <v>6811.29</v>
      </c>
    </row>
    <row r="237" spans="1:10">
      <c r="A237" t="s">
        <v>254</v>
      </c>
      <c r="B237" s="15">
        <v>45702</v>
      </c>
      <c r="C237" t="s">
        <v>19</v>
      </c>
      <c r="D237" t="s">
        <v>17</v>
      </c>
      <c r="E237">
        <v>9929.72</v>
      </c>
      <c r="F237">
        <v>8904.04</v>
      </c>
      <c r="G237">
        <v>80479</v>
      </c>
      <c r="H237">
        <v>3812</v>
      </c>
      <c r="I237">
        <v>427</v>
      </c>
      <c r="J237">
        <v>18914.49</v>
      </c>
    </row>
    <row r="238" spans="1:10">
      <c r="A238" t="s">
        <v>255</v>
      </c>
      <c r="B238" s="15">
        <v>45733</v>
      </c>
      <c r="C238" t="s">
        <v>24</v>
      </c>
      <c r="D238" t="s">
        <v>17</v>
      </c>
      <c r="E238">
        <v>4782.48</v>
      </c>
      <c r="F238">
        <v>4803.77</v>
      </c>
      <c r="G238">
        <v>65167</v>
      </c>
      <c r="H238">
        <v>3118</v>
      </c>
      <c r="I238">
        <v>343</v>
      </c>
      <c r="J238">
        <v>14682.74</v>
      </c>
    </row>
    <row r="239" spans="1:10">
      <c r="A239" t="s">
        <v>256</v>
      </c>
      <c r="B239" s="15">
        <v>45680</v>
      </c>
      <c r="C239" t="s">
        <v>19</v>
      </c>
      <c r="D239" t="s">
        <v>17</v>
      </c>
      <c r="E239">
        <v>7169.47</v>
      </c>
      <c r="F239">
        <v>6749.86</v>
      </c>
      <c r="G239">
        <v>109928</v>
      </c>
      <c r="H239">
        <v>2600</v>
      </c>
      <c r="I239">
        <v>192</v>
      </c>
      <c r="J239">
        <v>6212.2</v>
      </c>
    </row>
    <row r="240" spans="1:10">
      <c r="A240" t="s">
        <v>257</v>
      </c>
      <c r="B240" s="15">
        <v>45730</v>
      </c>
      <c r="C240" t="s">
        <v>24</v>
      </c>
      <c r="D240" t="s">
        <v>15</v>
      </c>
      <c r="E240">
        <v>5442.08</v>
      </c>
      <c r="F240">
        <v>5871.24</v>
      </c>
      <c r="G240">
        <v>155287</v>
      </c>
      <c r="H240">
        <v>6156</v>
      </c>
      <c r="I240">
        <v>885</v>
      </c>
      <c r="J240">
        <v>39752.95</v>
      </c>
    </row>
    <row r="241" spans="1:10">
      <c r="A241" t="s">
        <v>258</v>
      </c>
      <c r="B241" s="15">
        <v>45763</v>
      </c>
      <c r="C241" t="s">
        <v>24</v>
      </c>
      <c r="D241" t="s">
        <v>17</v>
      </c>
      <c r="E241">
        <v>9755.19</v>
      </c>
      <c r="F241">
        <v>8167.91</v>
      </c>
      <c r="G241">
        <v>78740</v>
      </c>
      <c r="H241">
        <v>2383</v>
      </c>
      <c r="I241">
        <v>340</v>
      </c>
      <c r="J241">
        <v>14254.85</v>
      </c>
    </row>
    <row r="242" spans="1:10">
      <c r="A242" t="s">
        <v>259</v>
      </c>
      <c r="B242" s="15">
        <v>45677</v>
      </c>
      <c r="C242" t="s">
        <v>24</v>
      </c>
      <c r="D242" t="s">
        <v>20</v>
      </c>
      <c r="E242">
        <v>9568.38</v>
      </c>
      <c r="F242">
        <v>8174.94</v>
      </c>
      <c r="G242">
        <v>158786</v>
      </c>
      <c r="H242">
        <v>2402</v>
      </c>
      <c r="I242">
        <v>240</v>
      </c>
      <c r="J242">
        <v>5278.77</v>
      </c>
    </row>
    <row r="243" spans="1:10">
      <c r="A243" t="s">
        <v>260</v>
      </c>
      <c r="B243" s="15">
        <v>45799</v>
      </c>
      <c r="C243" t="s">
        <v>19</v>
      </c>
      <c r="D243" t="s">
        <v>15</v>
      </c>
      <c r="E243">
        <v>8187.84</v>
      </c>
      <c r="F243">
        <v>7961.38</v>
      </c>
      <c r="G243">
        <v>158182</v>
      </c>
      <c r="H243">
        <v>3562</v>
      </c>
      <c r="I243">
        <v>554</v>
      </c>
      <c r="J243">
        <v>25071.19</v>
      </c>
    </row>
    <row r="244" spans="1:10">
      <c r="A244" t="s">
        <v>261</v>
      </c>
      <c r="B244" s="15">
        <v>45691</v>
      </c>
      <c r="C244" t="s">
        <v>22</v>
      </c>
      <c r="D244" t="s">
        <v>15</v>
      </c>
      <c r="E244">
        <v>3978.41</v>
      </c>
      <c r="F244">
        <v>4131.9</v>
      </c>
      <c r="G244">
        <v>70430</v>
      </c>
      <c r="H244">
        <v>2036</v>
      </c>
      <c r="I244">
        <v>76</v>
      </c>
      <c r="J244">
        <v>1979.71</v>
      </c>
    </row>
    <row r="245" spans="1:10">
      <c r="A245" t="s">
        <v>262</v>
      </c>
      <c r="B245" s="15">
        <v>45739</v>
      </c>
      <c r="C245" t="s">
        <v>14</v>
      </c>
      <c r="D245" t="s">
        <v>15</v>
      </c>
      <c r="E245">
        <v>4145.59</v>
      </c>
      <c r="F245">
        <v>3520.77</v>
      </c>
      <c r="G245">
        <v>53472</v>
      </c>
      <c r="H245">
        <v>1779</v>
      </c>
      <c r="I245">
        <v>127</v>
      </c>
      <c r="J245">
        <v>5643.53</v>
      </c>
    </row>
    <row r="246" spans="1:10">
      <c r="A246" t="s">
        <v>263</v>
      </c>
      <c r="B246" s="15">
        <v>45769</v>
      </c>
      <c r="C246" t="s">
        <v>11</v>
      </c>
      <c r="D246" t="s">
        <v>17</v>
      </c>
      <c r="E246">
        <v>7656.38</v>
      </c>
      <c r="F246">
        <v>7326.54</v>
      </c>
      <c r="G246">
        <v>65231</v>
      </c>
      <c r="H246">
        <v>2231</v>
      </c>
      <c r="I246">
        <v>352</v>
      </c>
      <c r="J246">
        <v>10829.25</v>
      </c>
    </row>
    <row r="247" spans="1:10">
      <c r="A247" t="s">
        <v>264</v>
      </c>
      <c r="B247" s="15">
        <v>45701</v>
      </c>
      <c r="C247" t="s">
        <v>11</v>
      </c>
      <c r="D247" t="s">
        <v>20</v>
      </c>
      <c r="E247">
        <v>9140.4</v>
      </c>
      <c r="F247">
        <v>8388.45</v>
      </c>
      <c r="G247">
        <v>136646</v>
      </c>
      <c r="H247">
        <v>2540</v>
      </c>
      <c r="I247">
        <v>494</v>
      </c>
      <c r="J247">
        <v>21982</v>
      </c>
    </row>
    <row r="248" spans="1:10">
      <c r="A248" t="s">
        <v>265</v>
      </c>
      <c r="B248" s="15">
        <v>45652</v>
      </c>
      <c r="C248" t="s">
        <v>14</v>
      </c>
      <c r="D248" t="s">
        <v>12</v>
      </c>
      <c r="E248">
        <v>6073.94</v>
      </c>
      <c r="F248">
        <v>5546.01</v>
      </c>
      <c r="G248">
        <v>106358</v>
      </c>
      <c r="H248">
        <v>1150</v>
      </c>
      <c r="I248">
        <v>118</v>
      </c>
      <c r="J248">
        <v>3997.89</v>
      </c>
    </row>
    <row r="249" spans="1:10">
      <c r="A249" t="s">
        <v>266</v>
      </c>
      <c r="B249" s="15">
        <v>45733</v>
      </c>
      <c r="C249" t="s">
        <v>11</v>
      </c>
      <c r="D249" t="s">
        <v>15</v>
      </c>
      <c r="E249">
        <v>5109.65</v>
      </c>
      <c r="F249">
        <v>5233.73</v>
      </c>
      <c r="G249">
        <v>179651</v>
      </c>
      <c r="H249">
        <v>4479</v>
      </c>
      <c r="I249">
        <v>887</v>
      </c>
      <c r="J249">
        <v>31117.39</v>
      </c>
    </row>
    <row r="250" spans="1:10">
      <c r="A250" t="s">
        <v>267</v>
      </c>
      <c r="B250" s="15">
        <v>45773</v>
      </c>
      <c r="C250" t="s">
        <v>14</v>
      </c>
      <c r="D250" t="s">
        <v>20</v>
      </c>
      <c r="E250">
        <v>4625.49</v>
      </c>
      <c r="F250">
        <v>4948.68</v>
      </c>
      <c r="G250">
        <v>87263</v>
      </c>
      <c r="H250">
        <v>3752</v>
      </c>
      <c r="I250">
        <v>526</v>
      </c>
      <c r="J250">
        <v>16577.8</v>
      </c>
    </row>
    <row r="251" spans="1:10">
      <c r="A251" t="s">
        <v>268</v>
      </c>
      <c r="B251" s="15">
        <v>45640</v>
      </c>
      <c r="C251" t="s">
        <v>11</v>
      </c>
      <c r="D251" t="s">
        <v>15</v>
      </c>
      <c r="E251">
        <v>6804.87</v>
      </c>
      <c r="F251">
        <v>7294.42</v>
      </c>
      <c r="G251">
        <v>142706</v>
      </c>
      <c r="H251">
        <v>4101</v>
      </c>
      <c r="I251">
        <v>124</v>
      </c>
      <c r="J251">
        <v>4802.17</v>
      </c>
    </row>
    <row r="252" spans="1:10">
      <c r="A252" t="s">
        <v>269</v>
      </c>
      <c r="B252" s="15">
        <v>45712</v>
      </c>
      <c r="C252" t="s">
        <v>11</v>
      </c>
      <c r="D252" t="s">
        <v>12</v>
      </c>
      <c r="E252">
        <v>3818.29</v>
      </c>
      <c r="F252">
        <v>4131.2</v>
      </c>
      <c r="G252">
        <v>197165</v>
      </c>
      <c r="H252">
        <v>8105</v>
      </c>
      <c r="I252">
        <v>869</v>
      </c>
      <c r="J252">
        <v>33744.35</v>
      </c>
    </row>
    <row r="253" spans="1:10">
      <c r="A253" t="s">
        <v>270</v>
      </c>
      <c r="B253" s="15">
        <v>45692</v>
      </c>
      <c r="C253" t="s">
        <v>19</v>
      </c>
      <c r="D253" t="s">
        <v>17</v>
      </c>
      <c r="E253">
        <v>5344.34</v>
      </c>
      <c r="F253">
        <v>4498.77</v>
      </c>
      <c r="G253">
        <v>141042</v>
      </c>
      <c r="H253">
        <v>2816</v>
      </c>
      <c r="I253">
        <v>230</v>
      </c>
      <c r="J253">
        <v>10078.77</v>
      </c>
    </row>
    <row r="254" spans="1:10">
      <c r="A254" t="s">
        <v>271</v>
      </c>
      <c r="B254" s="15">
        <v>45651</v>
      </c>
      <c r="C254" t="s">
        <v>11</v>
      </c>
      <c r="D254" t="s">
        <v>15</v>
      </c>
      <c r="E254">
        <v>7340.51</v>
      </c>
      <c r="F254">
        <v>7047.17</v>
      </c>
      <c r="G254">
        <v>103661</v>
      </c>
      <c r="H254">
        <v>3336</v>
      </c>
      <c r="I254">
        <v>394</v>
      </c>
      <c r="J254">
        <v>18445.81</v>
      </c>
    </row>
    <row r="255" spans="1:10">
      <c r="A255" t="s">
        <v>272</v>
      </c>
      <c r="B255" s="15">
        <v>45710</v>
      </c>
      <c r="C255" t="s">
        <v>19</v>
      </c>
      <c r="D255" t="s">
        <v>17</v>
      </c>
      <c r="E255">
        <v>8520.18</v>
      </c>
      <c r="F255">
        <v>7203.83</v>
      </c>
      <c r="G255">
        <v>71137</v>
      </c>
      <c r="H255">
        <v>2638</v>
      </c>
      <c r="I255">
        <v>60</v>
      </c>
      <c r="J255">
        <v>1761.1</v>
      </c>
    </row>
    <row r="256" spans="1:10">
      <c r="A256" t="s">
        <v>273</v>
      </c>
      <c r="B256" s="15">
        <v>45734</v>
      </c>
      <c r="C256" t="s">
        <v>22</v>
      </c>
      <c r="D256" t="s">
        <v>20</v>
      </c>
      <c r="E256">
        <v>4739.42</v>
      </c>
      <c r="F256">
        <v>4849.3</v>
      </c>
      <c r="G256">
        <v>109146</v>
      </c>
      <c r="H256">
        <v>3124</v>
      </c>
      <c r="I256">
        <v>400</v>
      </c>
      <c r="J256">
        <v>8402.39</v>
      </c>
    </row>
    <row r="257" spans="1:10">
      <c r="A257" t="s">
        <v>274</v>
      </c>
      <c r="B257" s="15">
        <v>45637</v>
      </c>
      <c r="C257" t="s">
        <v>24</v>
      </c>
      <c r="D257" t="s">
        <v>15</v>
      </c>
      <c r="E257">
        <v>6989.23</v>
      </c>
      <c r="F257">
        <v>7190.08</v>
      </c>
      <c r="G257">
        <v>119284</v>
      </c>
      <c r="H257">
        <v>1389</v>
      </c>
      <c r="I257">
        <v>211</v>
      </c>
      <c r="J257">
        <v>9769.93</v>
      </c>
    </row>
    <row r="258" spans="1:10">
      <c r="A258" t="s">
        <v>275</v>
      </c>
      <c r="B258" s="15">
        <v>45695</v>
      </c>
      <c r="C258" t="s">
        <v>24</v>
      </c>
      <c r="D258" t="s">
        <v>15</v>
      </c>
      <c r="E258">
        <v>5394.57</v>
      </c>
      <c r="F258">
        <v>5644.76</v>
      </c>
      <c r="G258">
        <v>192983</v>
      </c>
      <c r="H258">
        <v>4396</v>
      </c>
      <c r="I258">
        <v>677</v>
      </c>
      <c r="J258">
        <v>15786.93</v>
      </c>
    </row>
    <row r="259" spans="1:10">
      <c r="A259" t="s">
        <v>276</v>
      </c>
      <c r="B259" s="15">
        <v>45769</v>
      </c>
      <c r="C259" t="s">
        <v>19</v>
      </c>
      <c r="D259" t="s">
        <v>17</v>
      </c>
      <c r="E259">
        <v>8925.17</v>
      </c>
      <c r="F259">
        <v>7481.49</v>
      </c>
      <c r="G259">
        <v>121420</v>
      </c>
      <c r="H259">
        <v>2619</v>
      </c>
      <c r="I259">
        <v>104</v>
      </c>
      <c r="J259">
        <v>3319.54</v>
      </c>
    </row>
    <row r="260" spans="1:10">
      <c r="A260" t="s">
        <v>277</v>
      </c>
      <c r="B260" s="15">
        <v>45774</v>
      </c>
      <c r="C260" t="s">
        <v>19</v>
      </c>
      <c r="D260" t="s">
        <v>17</v>
      </c>
      <c r="E260">
        <v>8581.07</v>
      </c>
      <c r="F260">
        <v>7250.79</v>
      </c>
      <c r="G260">
        <v>157129</v>
      </c>
      <c r="H260">
        <v>6144</v>
      </c>
      <c r="I260">
        <v>426</v>
      </c>
      <c r="J260">
        <v>11449.83</v>
      </c>
    </row>
    <row r="261" spans="1:10">
      <c r="A261" t="s">
        <v>278</v>
      </c>
      <c r="B261" s="15">
        <v>45721</v>
      </c>
      <c r="C261" t="s">
        <v>14</v>
      </c>
      <c r="D261" t="s">
        <v>20</v>
      </c>
      <c r="E261">
        <v>8055.77</v>
      </c>
      <c r="F261">
        <v>8184.75</v>
      </c>
      <c r="G261">
        <v>194986</v>
      </c>
      <c r="H261">
        <v>2202</v>
      </c>
      <c r="I261">
        <v>364</v>
      </c>
      <c r="J261">
        <v>14281.33</v>
      </c>
    </row>
    <row r="262" spans="1:10">
      <c r="A262" t="s">
        <v>279</v>
      </c>
      <c r="B262" s="15">
        <v>45803</v>
      </c>
      <c r="C262" t="s">
        <v>19</v>
      </c>
      <c r="D262" t="s">
        <v>15</v>
      </c>
      <c r="E262">
        <v>7857.64</v>
      </c>
      <c r="F262">
        <v>7565.47</v>
      </c>
      <c r="G262">
        <v>75023</v>
      </c>
      <c r="H262">
        <v>2918</v>
      </c>
      <c r="I262">
        <v>193</v>
      </c>
      <c r="J262">
        <v>5317.92</v>
      </c>
    </row>
    <row r="263" spans="1:10">
      <c r="A263" t="s">
        <v>280</v>
      </c>
      <c r="B263" s="15">
        <v>45765</v>
      </c>
      <c r="C263" t="s">
        <v>11</v>
      </c>
      <c r="D263" t="s">
        <v>20</v>
      </c>
      <c r="E263">
        <v>5419.87</v>
      </c>
      <c r="F263">
        <v>4631.17</v>
      </c>
      <c r="G263">
        <v>190925</v>
      </c>
      <c r="H263">
        <v>4618</v>
      </c>
      <c r="I263">
        <v>144</v>
      </c>
      <c r="J263">
        <v>6804.51</v>
      </c>
    </row>
    <row r="264" spans="1:10">
      <c r="A264" t="s">
        <v>281</v>
      </c>
      <c r="B264" s="15">
        <v>45702</v>
      </c>
      <c r="C264" t="s">
        <v>24</v>
      </c>
      <c r="D264" t="s">
        <v>17</v>
      </c>
      <c r="E264">
        <v>7083.74</v>
      </c>
      <c r="F264">
        <v>6518.85</v>
      </c>
      <c r="G264">
        <v>166397</v>
      </c>
      <c r="H264">
        <v>1945</v>
      </c>
      <c r="I264">
        <v>236</v>
      </c>
      <c r="J264">
        <v>7991</v>
      </c>
    </row>
    <row r="265" spans="1:10">
      <c r="A265" t="s">
        <v>282</v>
      </c>
      <c r="B265" s="15">
        <v>45724</v>
      </c>
      <c r="C265" t="s">
        <v>14</v>
      </c>
      <c r="D265" t="s">
        <v>12</v>
      </c>
      <c r="E265">
        <v>9630.98</v>
      </c>
      <c r="F265">
        <v>8147.86</v>
      </c>
      <c r="G265">
        <v>77672</v>
      </c>
      <c r="H265">
        <v>2185</v>
      </c>
      <c r="I265">
        <v>376</v>
      </c>
      <c r="J265">
        <v>14132.67</v>
      </c>
    </row>
    <row r="266" spans="1:10">
      <c r="A266" t="s">
        <v>283</v>
      </c>
      <c r="B266" s="15">
        <v>45797</v>
      </c>
      <c r="C266" t="s">
        <v>14</v>
      </c>
      <c r="D266" t="s">
        <v>20</v>
      </c>
      <c r="E266">
        <v>6541.22</v>
      </c>
      <c r="F266">
        <v>6432.87</v>
      </c>
      <c r="G266">
        <v>127332</v>
      </c>
      <c r="H266">
        <v>4365</v>
      </c>
      <c r="I266">
        <v>646</v>
      </c>
      <c r="J266">
        <v>13270.98</v>
      </c>
    </row>
    <row r="267" spans="1:10">
      <c r="A267" t="s">
        <v>284</v>
      </c>
      <c r="B267" s="15">
        <v>45748</v>
      </c>
      <c r="C267" t="s">
        <v>22</v>
      </c>
      <c r="D267" t="s">
        <v>17</v>
      </c>
      <c r="E267">
        <v>9104.87</v>
      </c>
      <c r="F267">
        <v>9829.94</v>
      </c>
      <c r="G267">
        <v>155035</v>
      </c>
      <c r="H267">
        <v>4402</v>
      </c>
      <c r="I267">
        <v>390</v>
      </c>
      <c r="J267">
        <v>14412.06</v>
      </c>
    </row>
    <row r="268" spans="1:10">
      <c r="A268" t="s">
        <v>285</v>
      </c>
      <c r="B268" s="15">
        <v>45798</v>
      </c>
      <c r="C268" t="s">
        <v>11</v>
      </c>
      <c r="D268" t="s">
        <v>17</v>
      </c>
      <c r="E268">
        <v>7876.56</v>
      </c>
      <c r="F268">
        <v>8481.08</v>
      </c>
      <c r="G268">
        <v>148308</v>
      </c>
      <c r="H268">
        <v>5069</v>
      </c>
      <c r="I268">
        <v>397</v>
      </c>
      <c r="J268">
        <v>16363.21</v>
      </c>
    </row>
    <row r="269" spans="1:10">
      <c r="A269" t="s">
        <v>286</v>
      </c>
      <c r="B269" s="15">
        <v>45713</v>
      </c>
      <c r="C269" t="s">
        <v>11</v>
      </c>
      <c r="D269" t="s">
        <v>12</v>
      </c>
      <c r="E269">
        <v>4067.77</v>
      </c>
      <c r="F269">
        <v>3957.48</v>
      </c>
      <c r="G269">
        <v>74611</v>
      </c>
      <c r="H269">
        <v>2423</v>
      </c>
      <c r="I269">
        <v>354</v>
      </c>
      <c r="J269">
        <v>13523.31</v>
      </c>
    </row>
    <row r="270" spans="1:10">
      <c r="A270" t="s">
        <v>287</v>
      </c>
      <c r="B270" s="15">
        <v>45776</v>
      </c>
      <c r="C270" t="s">
        <v>24</v>
      </c>
      <c r="D270" t="s">
        <v>12</v>
      </c>
      <c r="E270">
        <v>5968.91</v>
      </c>
      <c r="F270">
        <v>6093.86</v>
      </c>
      <c r="G270">
        <v>196435</v>
      </c>
      <c r="H270">
        <v>5991</v>
      </c>
      <c r="I270">
        <v>805</v>
      </c>
      <c r="J270">
        <v>38664.96</v>
      </c>
    </row>
    <row r="271" spans="1:10">
      <c r="A271" t="s">
        <v>288</v>
      </c>
      <c r="B271" s="15">
        <v>45711</v>
      </c>
      <c r="C271" t="s">
        <v>22</v>
      </c>
      <c r="D271" t="s">
        <v>12</v>
      </c>
      <c r="E271">
        <v>9478.98</v>
      </c>
      <c r="F271">
        <v>8865.23</v>
      </c>
      <c r="G271">
        <v>50483</v>
      </c>
      <c r="H271">
        <v>1111</v>
      </c>
      <c r="I271">
        <v>104</v>
      </c>
      <c r="J271">
        <v>2433.3</v>
      </c>
    </row>
    <row r="272" spans="1:10">
      <c r="A272" t="s">
        <v>289</v>
      </c>
      <c r="B272" s="15">
        <v>45817</v>
      </c>
      <c r="C272" t="s">
        <v>19</v>
      </c>
      <c r="D272" t="s">
        <v>12</v>
      </c>
      <c r="E272">
        <v>9893.89</v>
      </c>
      <c r="F272">
        <v>10405.1</v>
      </c>
      <c r="G272">
        <v>156463</v>
      </c>
      <c r="H272">
        <v>3470</v>
      </c>
      <c r="I272">
        <v>102</v>
      </c>
      <c r="J272">
        <v>2421.47</v>
      </c>
    </row>
    <row r="273" spans="1:10">
      <c r="A273" t="s">
        <v>290</v>
      </c>
      <c r="B273" s="15">
        <v>45644</v>
      </c>
      <c r="C273" t="s">
        <v>19</v>
      </c>
      <c r="D273" t="s">
        <v>20</v>
      </c>
      <c r="E273">
        <v>9445.89</v>
      </c>
      <c r="F273">
        <v>10021.8</v>
      </c>
      <c r="G273">
        <v>128263</v>
      </c>
      <c r="H273">
        <v>5531</v>
      </c>
      <c r="I273">
        <v>947</v>
      </c>
      <c r="J273">
        <v>33680.19</v>
      </c>
    </row>
    <row r="274" spans="1:10">
      <c r="A274" t="s">
        <v>291</v>
      </c>
      <c r="B274" s="15">
        <v>45768</v>
      </c>
      <c r="C274" t="s">
        <v>22</v>
      </c>
      <c r="D274" t="s">
        <v>17</v>
      </c>
      <c r="E274">
        <v>7138.93</v>
      </c>
      <c r="F274">
        <v>6565.68</v>
      </c>
      <c r="G274">
        <v>52499</v>
      </c>
      <c r="H274">
        <v>1190</v>
      </c>
      <c r="I274">
        <v>108</v>
      </c>
      <c r="J274">
        <v>2337.43</v>
      </c>
    </row>
    <row r="275" spans="1:10">
      <c r="A275" t="s">
        <v>292</v>
      </c>
      <c r="B275" s="15">
        <v>45657</v>
      </c>
      <c r="C275" t="s">
        <v>11</v>
      </c>
      <c r="D275" t="s">
        <v>15</v>
      </c>
      <c r="E275">
        <v>5346.38</v>
      </c>
      <c r="F275">
        <v>5564.81</v>
      </c>
      <c r="G275">
        <v>67097</v>
      </c>
      <c r="H275">
        <v>1613</v>
      </c>
      <c r="I275">
        <v>258</v>
      </c>
      <c r="J275">
        <v>5195.85</v>
      </c>
    </row>
    <row r="276" spans="1:10">
      <c r="A276" t="s">
        <v>293</v>
      </c>
      <c r="B276" s="15">
        <v>45641</v>
      </c>
      <c r="C276" t="s">
        <v>14</v>
      </c>
      <c r="D276" t="s">
        <v>20</v>
      </c>
      <c r="E276">
        <v>5334.49</v>
      </c>
      <c r="F276">
        <v>4904.8</v>
      </c>
      <c r="G276">
        <v>191774</v>
      </c>
      <c r="H276">
        <v>6884</v>
      </c>
      <c r="I276">
        <v>582</v>
      </c>
      <c r="J276">
        <v>21022.93</v>
      </c>
    </row>
    <row r="277" spans="1:10">
      <c r="A277" t="s">
        <v>294</v>
      </c>
      <c r="B277" s="15">
        <v>45663</v>
      </c>
      <c r="C277" t="s">
        <v>19</v>
      </c>
      <c r="D277" t="s">
        <v>20</v>
      </c>
      <c r="E277">
        <v>9438.99</v>
      </c>
      <c r="F277">
        <v>8531.94</v>
      </c>
      <c r="G277">
        <v>178702</v>
      </c>
      <c r="H277">
        <v>4580</v>
      </c>
      <c r="I277">
        <v>285</v>
      </c>
      <c r="J277">
        <v>8666.45</v>
      </c>
    </row>
    <row r="278" spans="1:10">
      <c r="A278" t="s">
        <v>295</v>
      </c>
      <c r="B278" s="15">
        <v>45668</v>
      </c>
      <c r="C278" t="s">
        <v>24</v>
      </c>
      <c r="D278" t="s">
        <v>20</v>
      </c>
      <c r="E278">
        <v>8162.51</v>
      </c>
      <c r="F278">
        <v>7637.38</v>
      </c>
      <c r="G278">
        <v>70461</v>
      </c>
      <c r="H278">
        <v>2962</v>
      </c>
      <c r="I278">
        <v>302</v>
      </c>
      <c r="J278">
        <v>8074.92</v>
      </c>
    </row>
    <row r="279" spans="1:10">
      <c r="A279" t="s">
        <v>296</v>
      </c>
      <c r="B279" s="15">
        <v>45812</v>
      </c>
      <c r="C279" t="s">
        <v>22</v>
      </c>
      <c r="D279" t="s">
        <v>12</v>
      </c>
      <c r="E279">
        <v>6167.08</v>
      </c>
      <c r="F279">
        <v>5194.27</v>
      </c>
      <c r="G279">
        <v>105961</v>
      </c>
      <c r="H279">
        <v>4343</v>
      </c>
      <c r="I279">
        <v>558</v>
      </c>
      <c r="J279">
        <v>14112.72</v>
      </c>
    </row>
    <row r="280" spans="1:10">
      <c r="A280" t="s">
        <v>297</v>
      </c>
      <c r="B280" s="15">
        <v>45711</v>
      </c>
      <c r="C280" t="s">
        <v>22</v>
      </c>
      <c r="D280" t="s">
        <v>15</v>
      </c>
      <c r="E280">
        <v>6488.57</v>
      </c>
      <c r="F280">
        <v>6006.32</v>
      </c>
      <c r="G280">
        <v>70597</v>
      </c>
      <c r="H280">
        <v>2706</v>
      </c>
      <c r="I280">
        <v>330</v>
      </c>
      <c r="J280">
        <v>15656.97</v>
      </c>
    </row>
    <row r="281" spans="1:10">
      <c r="A281" t="s">
        <v>298</v>
      </c>
      <c r="B281" s="15">
        <v>45706</v>
      </c>
      <c r="C281" t="s">
        <v>11</v>
      </c>
      <c r="D281" t="s">
        <v>15</v>
      </c>
      <c r="E281">
        <v>5536.76</v>
      </c>
      <c r="F281">
        <v>5393.78</v>
      </c>
      <c r="G281">
        <v>99708</v>
      </c>
      <c r="H281">
        <v>4677</v>
      </c>
      <c r="I281">
        <v>700</v>
      </c>
      <c r="J281">
        <v>27277.55</v>
      </c>
    </row>
    <row r="282" spans="1:10">
      <c r="A282" t="s">
        <v>299</v>
      </c>
      <c r="B282" s="15">
        <v>45682</v>
      </c>
      <c r="C282" t="s">
        <v>19</v>
      </c>
      <c r="D282" t="s">
        <v>15</v>
      </c>
      <c r="E282">
        <v>3091.66</v>
      </c>
      <c r="F282">
        <v>3088.76</v>
      </c>
      <c r="G282">
        <v>170519</v>
      </c>
      <c r="H282">
        <v>7134</v>
      </c>
      <c r="I282">
        <v>1220</v>
      </c>
      <c r="J282">
        <v>30916.12</v>
      </c>
    </row>
    <row r="283" spans="1:10">
      <c r="A283" t="s">
        <v>300</v>
      </c>
      <c r="B283" s="15">
        <v>45797</v>
      </c>
      <c r="C283" t="s">
        <v>22</v>
      </c>
      <c r="D283" t="s">
        <v>12</v>
      </c>
      <c r="E283">
        <v>9727.49</v>
      </c>
      <c r="F283">
        <v>8215.83</v>
      </c>
      <c r="G283">
        <v>124323</v>
      </c>
      <c r="H283">
        <v>2448</v>
      </c>
      <c r="I283">
        <v>214</v>
      </c>
      <c r="J283">
        <v>6941.89</v>
      </c>
    </row>
    <row r="284" spans="1:10">
      <c r="A284" t="s">
        <v>301</v>
      </c>
      <c r="B284" s="15">
        <v>45643</v>
      </c>
      <c r="C284" t="s">
        <v>19</v>
      </c>
      <c r="D284" t="s">
        <v>12</v>
      </c>
      <c r="E284">
        <v>3597.45</v>
      </c>
      <c r="F284">
        <v>3953.82</v>
      </c>
      <c r="G284">
        <v>92675</v>
      </c>
      <c r="H284">
        <v>1207</v>
      </c>
      <c r="I284">
        <v>133</v>
      </c>
      <c r="J284">
        <v>4663.76</v>
      </c>
    </row>
    <row r="285" spans="1:10">
      <c r="A285" t="s">
        <v>302</v>
      </c>
      <c r="B285" s="15">
        <v>45763</v>
      </c>
      <c r="C285" t="s">
        <v>11</v>
      </c>
      <c r="D285" t="s">
        <v>12</v>
      </c>
      <c r="E285">
        <v>7167.7</v>
      </c>
      <c r="F285">
        <v>5878.4</v>
      </c>
      <c r="G285">
        <v>71769</v>
      </c>
      <c r="H285">
        <v>3290</v>
      </c>
      <c r="I285">
        <v>54</v>
      </c>
      <c r="J285">
        <v>2294.94</v>
      </c>
    </row>
    <row r="286" spans="1:10">
      <c r="A286" t="s">
        <v>303</v>
      </c>
      <c r="B286" s="15">
        <v>45754</v>
      </c>
      <c r="C286" t="s">
        <v>11</v>
      </c>
      <c r="D286" t="s">
        <v>15</v>
      </c>
      <c r="E286">
        <v>4469.34</v>
      </c>
      <c r="F286">
        <v>4779.58</v>
      </c>
      <c r="G286">
        <v>61798</v>
      </c>
      <c r="H286">
        <v>1170</v>
      </c>
      <c r="I286">
        <v>114</v>
      </c>
      <c r="J286">
        <v>2981.58</v>
      </c>
    </row>
    <row r="287" spans="1:10">
      <c r="A287" t="s">
        <v>304</v>
      </c>
      <c r="B287" s="15">
        <v>45693</v>
      </c>
      <c r="C287" t="s">
        <v>24</v>
      </c>
      <c r="D287" t="s">
        <v>12</v>
      </c>
      <c r="E287">
        <v>4334.81</v>
      </c>
      <c r="F287">
        <v>3515.38</v>
      </c>
      <c r="G287">
        <v>78277</v>
      </c>
      <c r="H287">
        <v>1196</v>
      </c>
      <c r="I287">
        <v>224</v>
      </c>
      <c r="J287">
        <v>7652.29</v>
      </c>
    </row>
    <row r="288" spans="1:10">
      <c r="A288" t="s">
        <v>305</v>
      </c>
      <c r="B288" s="15">
        <v>45814</v>
      </c>
      <c r="C288" t="s">
        <v>14</v>
      </c>
      <c r="D288" t="s">
        <v>15</v>
      </c>
      <c r="E288">
        <v>6953.89</v>
      </c>
      <c r="F288">
        <v>5700.19</v>
      </c>
      <c r="G288">
        <v>65823</v>
      </c>
      <c r="H288">
        <v>1049</v>
      </c>
      <c r="I288">
        <v>73</v>
      </c>
      <c r="J288">
        <v>3158.41</v>
      </c>
    </row>
    <row r="289" spans="1:10">
      <c r="A289" t="s">
        <v>306</v>
      </c>
      <c r="B289" s="15">
        <v>45738</v>
      </c>
      <c r="C289" t="s">
        <v>22</v>
      </c>
      <c r="D289" t="s">
        <v>12</v>
      </c>
      <c r="E289">
        <v>6173.02</v>
      </c>
      <c r="F289">
        <v>5909.54</v>
      </c>
      <c r="G289">
        <v>146175</v>
      </c>
      <c r="H289">
        <v>1946</v>
      </c>
      <c r="I289">
        <v>140</v>
      </c>
      <c r="J289">
        <v>4651.2</v>
      </c>
    </row>
    <row r="290" spans="1:10">
      <c r="A290" t="s">
        <v>307</v>
      </c>
      <c r="B290" s="15">
        <v>45642</v>
      </c>
      <c r="C290" t="s">
        <v>11</v>
      </c>
      <c r="D290" t="s">
        <v>17</v>
      </c>
      <c r="E290">
        <v>5805.34</v>
      </c>
      <c r="F290">
        <v>5618.94</v>
      </c>
      <c r="G290">
        <v>102654</v>
      </c>
      <c r="H290">
        <v>4465</v>
      </c>
      <c r="I290">
        <v>500</v>
      </c>
      <c r="J290">
        <v>12328.6</v>
      </c>
    </row>
    <row r="291" spans="1:10">
      <c r="A291" t="s">
        <v>308</v>
      </c>
      <c r="B291" s="15">
        <v>45675</v>
      </c>
      <c r="C291" t="s">
        <v>19</v>
      </c>
      <c r="D291" t="s">
        <v>20</v>
      </c>
      <c r="E291">
        <v>4273.5</v>
      </c>
      <c r="F291">
        <v>4523.65</v>
      </c>
      <c r="G291">
        <v>68829</v>
      </c>
      <c r="H291">
        <v>1090</v>
      </c>
      <c r="I291">
        <v>124</v>
      </c>
      <c r="J291">
        <v>5999.55</v>
      </c>
    </row>
    <row r="292" spans="1:10">
      <c r="A292" t="s">
        <v>309</v>
      </c>
      <c r="B292" s="15">
        <v>45665</v>
      </c>
      <c r="C292" t="s">
        <v>19</v>
      </c>
      <c r="D292" t="s">
        <v>15</v>
      </c>
      <c r="E292">
        <v>5613.17</v>
      </c>
      <c r="F292">
        <v>4946.46</v>
      </c>
      <c r="G292">
        <v>112356</v>
      </c>
      <c r="H292">
        <v>4894</v>
      </c>
      <c r="I292">
        <v>191</v>
      </c>
      <c r="J292">
        <v>7510.12</v>
      </c>
    </row>
    <row r="293" spans="1:10">
      <c r="A293" t="s">
        <v>310</v>
      </c>
      <c r="B293" s="15">
        <v>45661</v>
      </c>
      <c r="C293" t="s">
        <v>19</v>
      </c>
      <c r="D293" t="s">
        <v>20</v>
      </c>
      <c r="E293">
        <v>5861.14</v>
      </c>
      <c r="F293">
        <v>4733.55</v>
      </c>
      <c r="G293">
        <v>195477</v>
      </c>
      <c r="H293">
        <v>3560</v>
      </c>
      <c r="I293">
        <v>118</v>
      </c>
      <c r="J293">
        <v>2912.78</v>
      </c>
    </row>
    <row r="294" spans="1:10">
      <c r="A294" t="s">
        <v>311</v>
      </c>
      <c r="B294" s="15">
        <v>45791</v>
      </c>
      <c r="C294" t="s">
        <v>14</v>
      </c>
      <c r="D294" t="s">
        <v>15</v>
      </c>
      <c r="E294">
        <v>8011.81</v>
      </c>
      <c r="F294">
        <v>7993.2</v>
      </c>
      <c r="G294">
        <v>161797</v>
      </c>
      <c r="H294">
        <v>6944</v>
      </c>
      <c r="I294">
        <v>396</v>
      </c>
      <c r="J294">
        <v>8241.9</v>
      </c>
    </row>
    <row r="295" spans="1:10">
      <c r="A295" t="s">
        <v>312</v>
      </c>
      <c r="B295" s="15">
        <v>45789</v>
      </c>
      <c r="C295" t="s">
        <v>14</v>
      </c>
      <c r="D295" t="s">
        <v>12</v>
      </c>
      <c r="E295">
        <v>4553.81</v>
      </c>
      <c r="F295">
        <v>3958.73</v>
      </c>
      <c r="G295">
        <v>191829</v>
      </c>
      <c r="H295">
        <v>3686</v>
      </c>
      <c r="I295">
        <v>217</v>
      </c>
      <c r="J295">
        <v>8714.02</v>
      </c>
    </row>
    <row r="296" spans="1:10">
      <c r="A296" t="s">
        <v>313</v>
      </c>
      <c r="B296" s="15">
        <v>45735</v>
      </c>
      <c r="C296" t="s">
        <v>11</v>
      </c>
      <c r="D296" t="s">
        <v>20</v>
      </c>
      <c r="E296">
        <v>3137.97</v>
      </c>
      <c r="F296">
        <v>2608.38</v>
      </c>
      <c r="G296">
        <v>54030</v>
      </c>
      <c r="H296">
        <v>2101</v>
      </c>
      <c r="I296">
        <v>226</v>
      </c>
      <c r="J296">
        <v>9943.43</v>
      </c>
    </row>
    <row r="297" spans="1:10">
      <c r="A297" t="s">
        <v>314</v>
      </c>
      <c r="B297" s="15">
        <v>45814</v>
      </c>
      <c r="C297" t="s">
        <v>14</v>
      </c>
      <c r="D297" t="s">
        <v>17</v>
      </c>
      <c r="E297">
        <v>4249.81</v>
      </c>
      <c r="F297">
        <v>4232.06</v>
      </c>
      <c r="G297">
        <v>134964</v>
      </c>
      <c r="H297">
        <v>2504</v>
      </c>
      <c r="I297">
        <v>293</v>
      </c>
      <c r="J297">
        <v>7953.63</v>
      </c>
    </row>
    <row r="298" spans="1:10">
      <c r="A298" t="s">
        <v>315</v>
      </c>
      <c r="B298" s="15">
        <v>45702</v>
      </c>
      <c r="C298" t="s">
        <v>22</v>
      </c>
      <c r="D298" t="s">
        <v>17</v>
      </c>
      <c r="E298">
        <v>3696.09</v>
      </c>
      <c r="F298">
        <v>3226.51</v>
      </c>
      <c r="G298">
        <v>99410</v>
      </c>
      <c r="H298">
        <v>4795</v>
      </c>
      <c r="I298">
        <v>100</v>
      </c>
      <c r="J298">
        <v>4166.8</v>
      </c>
    </row>
    <row r="299" spans="1:10">
      <c r="A299" t="s">
        <v>316</v>
      </c>
      <c r="B299" s="15">
        <v>45655</v>
      </c>
      <c r="C299" t="s">
        <v>11</v>
      </c>
      <c r="D299" t="s">
        <v>15</v>
      </c>
      <c r="E299">
        <v>8989.88</v>
      </c>
      <c r="F299">
        <v>9430.98</v>
      </c>
      <c r="G299">
        <v>152642</v>
      </c>
      <c r="H299">
        <v>2474</v>
      </c>
      <c r="I299">
        <v>292</v>
      </c>
      <c r="J299">
        <v>9319.33</v>
      </c>
    </row>
    <row r="300" spans="1:10">
      <c r="A300" t="s">
        <v>317</v>
      </c>
      <c r="B300" s="15">
        <v>45756</v>
      </c>
      <c r="C300" t="s">
        <v>19</v>
      </c>
      <c r="D300" t="s">
        <v>12</v>
      </c>
      <c r="E300">
        <v>7676.6</v>
      </c>
      <c r="F300">
        <v>6613.35</v>
      </c>
      <c r="G300">
        <v>111235</v>
      </c>
      <c r="H300">
        <v>4808</v>
      </c>
      <c r="I300">
        <v>370</v>
      </c>
      <c r="J300">
        <v>10653.94</v>
      </c>
    </row>
    <row r="301" spans="1:10">
      <c r="A301" t="s">
        <v>318</v>
      </c>
      <c r="B301" s="15">
        <v>45718</v>
      </c>
      <c r="C301" t="s">
        <v>22</v>
      </c>
      <c r="D301" t="s">
        <v>12</v>
      </c>
      <c r="E301">
        <v>9274.35</v>
      </c>
      <c r="F301">
        <v>7455.66</v>
      </c>
      <c r="G301">
        <v>195593</v>
      </c>
      <c r="H301">
        <v>5136</v>
      </c>
      <c r="I301">
        <v>798</v>
      </c>
      <c r="J301">
        <v>18007.07</v>
      </c>
    </row>
    <row r="302" spans="1:10">
      <c r="A302" t="s">
        <v>319</v>
      </c>
      <c r="B302" s="15">
        <v>45789</v>
      </c>
      <c r="C302" t="s">
        <v>22</v>
      </c>
      <c r="D302" t="s">
        <v>17</v>
      </c>
      <c r="E302">
        <v>4455.2</v>
      </c>
      <c r="F302">
        <v>3599.62</v>
      </c>
      <c r="G302">
        <v>191906</v>
      </c>
      <c r="H302">
        <v>3380</v>
      </c>
      <c r="I302">
        <v>512</v>
      </c>
      <c r="J302">
        <v>13026.85</v>
      </c>
    </row>
    <row r="303" spans="1:10">
      <c r="A303" t="s">
        <v>320</v>
      </c>
      <c r="B303" s="15">
        <v>45739</v>
      </c>
      <c r="C303" t="s">
        <v>19</v>
      </c>
      <c r="D303" t="s">
        <v>17</v>
      </c>
      <c r="E303">
        <v>7081.29</v>
      </c>
      <c r="F303">
        <v>6560.3</v>
      </c>
      <c r="G303">
        <v>163874</v>
      </c>
      <c r="H303">
        <v>4357</v>
      </c>
      <c r="I303">
        <v>137</v>
      </c>
      <c r="J303">
        <v>6408.88</v>
      </c>
    </row>
    <row r="304" spans="1:10">
      <c r="A304" t="s">
        <v>321</v>
      </c>
      <c r="B304" s="15">
        <v>45759</v>
      </c>
      <c r="C304" t="s">
        <v>11</v>
      </c>
      <c r="D304" t="s">
        <v>20</v>
      </c>
      <c r="E304">
        <v>8722.1</v>
      </c>
      <c r="F304">
        <v>7872.09</v>
      </c>
      <c r="G304">
        <v>173144</v>
      </c>
      <c r="H304">
        <v>7537</v>
      </c>
      <c r="I304">
        <v>1161</v>
      </c>
      <c r="J304">
        <v>32255.72</v>
      </c>
    </row>
    <row r="305" spans="1:10">
      <c r="A305" t="s">
        <v>322</v>
      </c>
      <c r="B305" s="15">
        <v>45675</v>
      </c>
      <c r="C305" t="s">
        <v>24</v>
      </c>
      <c r="D305" t="s">
        <v>12</v>
      </c>
      <c r="E305">
        <v>5657.85</v>
      </c>
      <c r="F305">
        <v>5528.22</v>
      </c>
      <c r="G305">
        <v>131078</v>
      </c>
      <c r="H305">
        <v>4550</v>
      </c>
      <c r="I305">
        <v>114</v>
      </c>
      <c r="J305">
        <v>3196.78</v>
      </c>
    </row>
    <row r="306" spans="1:10">
      <c r="A306" t="s">
        <v>323</v>
      </c>
      <c r="B306" s="15">
        <v>45745</v>
      </c>
      <c r="C306" t="s">
        <v>14</v>
      </c>
      <c r="D306" t="s">
        <v>20</v>
      </c>
      <c r="E306">
        <v>7369.04</v>
      </c>
      <c r="F306">
        <v>6800.32</v>
      </c>
      <c r="G306">
        <v>171377</v>
      </c>
      <c r="H306">
        <v>4129</v>
      </c>
      <c r="I306">
        <v>453</v>
      </c>
      <c r="J306">
        <v>16562.32</v>
      </c>
    </row>
    <row r="307" spans="1:10">
      <c r="A307" t="s">
        <v>324</v>
      </c>
      <c r="B307" s="15">
        <v>45769</v>
      </c>
      <c r="C307" t="s">
        <v>22</v>
      </c>
      <c r="D307" t="s">
        <v>15</v>
      </c>
      <c r="E307">
        <v>6052.89</v>
      </c>
      <c r="F307">
        <v>5377.02</v>
      </c>
      <c r="G307">
        <v>118229</v>
      </c>
      <c r="H307">
        <v>1135</v>
      </c>
      <c r="I307">
        <v>149</v>
      </c>
      <c r="J307">
        <v>7219.59</v>
      </c>
    </row>
    <row r="308" spans="1:10">
      <c r="A308" t="s">
        <v>325</v>
      </c>
      <c r="B308" s="15">
        <v>45756</v>
      </c>
      <c r="C308" t="s">
        <v>22</v>
      </c>
      <c r="D308" t="s">
        <v>12</v>
      </c>
      <c r="E308">
        <v>8345.24</v>
      </c>
      <c r="F308">
        <v>7026.98</v>
      </c>
      <c r="G308">
        <v>93966</v>
      </c>
      <c r="H308">
        <v>2601</v>
      </c>
      <c r="I308">
        <v>324</v>
      </c>
      <c r="J308">
        <v>14921.51</v>
      </c>
    </row>
    <row r="309" spans="1:10">
      <c r="A309" t="s">
        <v>326</v>
      </c>
      <c r="B309" s="15">
        <v>45714</v>
      </c>
      <c r="C309" t="s">
        <v>22</v>
      </c>
      <c r="D309" t="s">
        <v>12</v>
      </c>
      <c r="E309">
        <v>6412.02</v>
      </c>
      <c r="F309">
        <v>6850.38</v>
      </c>
      <c r="G309">
        <v>180247</v>
      </c>
      <c r="H309">
        <v>6040</v>
      </c>
      <c r="I309">
        <v>1020</v>
      </c>
      <c r="J309">
        <v>44875.57</v>
      </c>
    </row>
    <row r="310" spans="1:10">
      <c r="A310" t="s">
        <v>327</v>
      </c>
      <c r="B310" s="15">
        <v>45743</v>
      </c>
      <c r="C310" t="s">
        <v>11</v>
      </c>
      <c r="D310" t="s">
        <v>12</v>
      </c>
      <c r="E310">
        <v>5976.49</v>
      </c>
      <c r="F310">
        <v>4821.48</v>
      </c>
      <c r="G310">
        <v>80643</v>
      </c>
      <c r="H310">
        <v>2915</v>
      </c>
      <c r="I310">
        <v>337</v>
      </c>
      <c r="J310">
        <v>9456.33</v>
      </c>
    </row>
    <row r="311" spans="1:10">
      <c r="A311" t="s">
        <v>328</v>
      </c>
      <c r="B311" s="15">
        <v>45810</v>
      </c>
      <c r="C311" t="s">
        <v>22</v>
      </c>
      <c r="D311" t="s">
        <v>17</v>
      </c>
      <c r="E311">
        <v>6791.44</v>
      </c>
      <c r="F311">
        <v>6723.82</v>
      </c>
      <c r="G311">
        <v>175493</v>
      </c>
      <c r="H311">
        <v>7200</v>
      </c>
      <c r="I311">
        <v>476</v>
      </c>
      <c r="J311">
        <v>13202.64</v>
      </c>
    </row>
    <row r="312" spans="1:10">
      <c r="A312" t="s">
        <v>329</v>
      </c>
      <c r="B312" s="15">
        <v>45790</v>
      </c>
      <c r="C312" t="s">
        <v>19</v>
      </c>
      <c r="D312" t="s">
        <v>17</v>
      </c>
      <c r="E312">
        <v>3975.49</v>
      </c>
      <c r="F312">
        <v>4176.17</v>
      </c>
      <c r="G312">
        <v>125145</v>
      </c>
      <c r="H312">
        <v>1135</v>
      </c>
      <c r="I312">
        <v>91</v>
      </c>
      <c r="J312">
        <v>4507.42</v>
      </c>
    </row>
    <row r="313" spans="1:10">
      <c r="A313" t="s">
        <v>330</v>
      </c>
      <c r="B313" s="15">
        <v>45767</v>
      </c>
      <c r="C313" t="s">
        <v>24</v>
      </c>
      <c r="D313" t="s">
        <v>20</v>
      </c>
      <c r="E313">
        <v>6679.83</v>
      </c>
      <c r="F313">
        <v>5687.9</v>
      </c>
      <c r="G313">
        <v>197509</v>
      </c>
      <c r="H313">
        <v>8448</v>
      </c>
      <c r="I313">
        <v>669</v>
      </c>
      <c r="J313">
        <v>18845.21</v>
      </c>
    </row>
    <row r="314" spans="1:10">
      <c r="A314" t="s">
        <v>331</v>
      </c>
      <c r="B314" s="15">
        <v>45769</v>
      </c>
      <c r="C314" t="s">
        <v>19</v>
      </c>
      <c r="D314" t="s">
        <v>17</v>
      </c>
      <c r="E314">
        <v>3128.73</v>
      </c>
      <c r="F314">
        <v>3361.16</v>
      </c>
      <c r="G314">
        <v>158254</v>
      </c>
      <c r="H314">
        <v>1254</v>
      </c>
      <c r="I314">
        <v>110</v>
      </c>
      <c r="J314">
        <v>2588.58</v>
      </c>
    </row>
    <row r="315" spans="1:10">
      <c r="A315" t="s">
        <v>332</v>
      </c>
      <c r="B315" s="15">
        <v>45685</v>
      </c>
      <c r="C315" t="s">
        <v>24</v>
      </c>
      <c r="D315" t="s">
        <v>17</v>
      </c>
      <c r="E315">
        <v>7035.62</v>
      </c>
      <c r="F315">
        <v>6206.94</v>
      </c>
      <c r="G315">
        <v>50360</v>
      </c>
      <c r="H315">
        <v>1689</v>
      </c>
      <c r="I315">
        <v>308</v>
      </c>
      <c r="J315">
        <v>11280.6</v>
      </c>
    </row>
    <row r="316" spans="1:10">
      <c r="A316" t="s">
        <v>333</v>
      </c>
      <c r="B316" s="15">
        <v>45783</v>
      </c>
      <c r="C316" t="s">
        <v>19</v>
      </c>
      <c r="D316" t="s">
        <v>12</v>
      </c>
      <c r="E316">
        <v>7559.94</v>
      </c>
      <c r="F316">
        <v>7929.79</v>
      </c>
      <c r="G316">
        <v>98472</v>
      </c>
      <c r="H316">
        <v>4803</v>
      </c>
      <c r="I316">
        <v>235</v>
      </c>
      <c r="J316">
        <v>6155.27</v>
      </c>
    </row>
    <row r="317" spans="1:10">
      <c r="A317" t="s">
        <v>334</v>
      </c>
      <c r="B317" s="15">
        <v>45755</v>
      </c>
      <c r="C317" t="s">
        <v>14</v>
      </c>
      <c r="D317" t="s">
        <v>15</v>
      </c>
      <c r="E317">
        <v>3076.97</v>
      </c>
      <c r="F317">
        <v>2587.93</v>
      </c>
      <c r="G317">
        <v>154581</v>
      </c>
      <c r="H317">
        <v>6093</v>
      </c>
      <c r="I317">
        <v>236</v>
      </c>
      <c r="J317">
        <v>11092.13</v>
      </c>
    </row>
    <row r="318" spans="1:10">
      <c r="A318" t="s">
        <v>335</v>
      </c>
      <c r="B318" s="15">
        <v>45686</v>
      </c>
      <c r="C318" t="s">
        <v>22</v>
      </c>
      <c r="D318" t="s">
        <v>15</v>
      </c>
      <c r="E318">
        <v>9117.23</v>
      </c>
      <c r="F318">
        <v>8927.81</v>
      </c>
      <c r="G318">
        <v>68618</v>
      </c>
      <c r="H318">
        <v>3036</v>
      </c>
      <c r="I318">
        <v>196</v>
      </c>
      <c r="J318">
        <v>7451.04</v>
      </c>
    </row>
    <row r="319" spans="1:10">
      <c r="A319" t="s">
        <v>336</v>
      </c>
      <c r="B319" s="15">
        <v>45663</v>
      </c>
      <c r="C319" t="s">
        <v>24</v>
      </c>
      <c r="D319" t="s">
        <v>15</v>
      </c>
      <c r="E319">
        <v>7655.26</v>
      </c>
      <c r="F319">
        <v>6526.96</v>
      </c>
      <c r="G319">
        <v>95395</v>
      </c>
      <c r="H319">
        <v>4443</v>
      </c>
      <c r="I319">
        <v>353</v>
      </c>
      <c r="J319">
        <v>16743.62</v>
      </c>
    </row>
    <row r="320" spans="1:10">
      <c r="A320" t="s">
        <v>337</v>
      </c>
      <c r="B320" s="15">
        <v>45685</v>
      </c>
      <c r="C320" t="s">
        <v>22</v>
      </c>
      <c r="D320" t="s">
        <v>12</v>
      </c>
      <c r="E320">
        <v>5931.39</v>
      </c>
      <c r="F320">
        <v>5426.88</v>
      </c>
      <c r="G320">
        <v>87162</v>
      </c>
      <c r="H320">
        <v>1775</v>
      </c>
      <c r="I320">
        <v>84</v>
      </c>
      <c r="J320">
        <v>2987.67</v>
      </c>
    </row>
    <row r="321" spans="1:10">
      <c r="A321" t="s">
        <v>338</v>
      </c>
      <c r="B321" s="15">
        <v>45754</v>
      </c>
      <c r="C321" t="s">
        <v>24</v>
      </c>
      <c r="D321" t="s">
        <v>20</v>
      </c>
      <c r="E321">
        <v>3328.76</v>
      </c>
      <c r="F321">
        <v>2829.06</v>
      </c>
      <c r="G321">
        <v>54764</v>
      </c>
      <c r="H321">
        <v>1698</v>
      </c>
      <c r="I321">
        <v>278</v>
      </c>
      <c r="J321">
        <v>11715.2</v>
      </c>
    </row>
    <row r="322" spans="1:10">
      <c r="A322" t="s">
        <v>339</v>
      </c>
      <c r="B322" s="15">
        <v>45800</v>
      </c>
      <c r="C322" t="s">
        <v>14</v>
      </c>
      <c r="D322" t="s">
        <v>20</v>
      </c>
      <c r="E322">
        <v>3579.59</v>
      </c>
      <c r="F322">
        <v>3511.38</v>
      </c>
      <c r="G322">
        <v>141976</v>
      </c>
      <c r="H322">
        <v>6294</v>
      </c>
      <c r="I322">
        <v>311</v>
      </c>
      <c r="J322">
        <v>8509.11</v>
      </c>
    </row>
    <row r="323" spans="1:10">
      <c r="A323" t="s">
        <v>340</v>
      </c>
      <c r="B323" s="15">
        <v>45757</v>
      </c>
      <c r="C323" t="s">
        <v>14</v>
      </c>
      <c r="D323" t="s">
        <v>17</v>
      </c>
      <c r="E323">
        <v>5725.07</v>
      </c>
      <c r="F323">
        <v>5075.89</v>
      </c>
      <c r="G323">
        <v>85169</v>
      </c>
      <c r="H323">
        <v>1524</v>
      </c>
      <c r="I323">
        <v>66</v>
      </c>
      <c r="J323">
        <v>2024.23</v>
      </c>
    </row>
    <row r="324" spans="1:10">
      <c r="A324" t="s">
        <v>341</v>
      </c>
      <c r="B324" s="15">
        <v>45760</v>
      </c>
      <c r="C324" t="s">
        <v>24</v>
      </c>
      <c r="D324" t="s">
        <v>20</v>
      </c>
      <c r="E324">
        <v>8033.32</v>
      </c>
      <c r="F324">
        <v>7142.72</v>
      </c>
      <c r="G324">
        <v>75206</v>
      </c>
      <c r="H324">
        <v>1081</v>
      </c>
      <c r="I324">
        <v>182</v>
      </c>
      <c r="J324">
        <v>6732.57</v>
      </c>
    </row>
    <row r="325" spans="1:10">
      <c r="A325" t="s">
        <v>342</v>
      </c>
      <c r="B325" s="15">
        <v>45688</v>
      </c>
      <c r="C325" t="s">
        <v>14</v>
      </c>
      <c r="D325" t="s">
        <v>20</v>
      </c>
      <c r="E325">
        <v>6332.35</v>
      </c>
      <c r="F325">
        <v>6326.66</v>
      </c>
      <c r="G325">
        <v>185576</v>
      </c>
      <c r="H325">
        <v>8158</v>
      </c>
      <c r="I325">
        <v>162</v>
      </c>
      <c r="J325">
        <v>7792.99</v>
      </c>
    </row>
    <row r="326" spans="1:10">
      <c r="A326" t="s">
        <v>343</v>
      </c>
      <c r="B326" s="15">
        <v>45647</v>
      </c>
      <c r="C326" t="s">
        <v>14</v>
      </c>
      <c r="D326" t="s">
        <v>17</v>
      </c>
      <c r="E326">
        <v>8128</v>
      </c>
      <c r="F326">
        <v>7026.51</v>
      </c>
      <c r="G326">
        <v>156872</v>
      </c>
      <c r="H326">
        <v>6177</v>
      </c>
      <c r="I326">
        <v>381</v>
      </c>
      <c r="J326">
        <v>7976.42</v>
      </c>
    </row>
    <row r="327" spans="1:10">
      <c r="A327" t="s">
        <v>344</v>
      </c>
      <c r="B327" s="15">
        <v>45747</v>
      </c>
      <c r="C327" t="s">
        <v>19</v>
      </c>
      <c r="D327" t="s">
        <v>15</v>
      </c>
      <c r="E327">
        <v>4835.85</v>
      </c>
      <c r="F327">
        <v>4731.99</v>
      </c>
      <c r="G327">
        <v>115212</v>
      </c>
      <c r="H327">
        <v>2331</v>
      </c>
      <c r="I327">
        <v>196</v>
      </c>
      <c r="J327">
        <v>4222.38</v>
      </c>
    </row>
    <row r="328" spans="1:10">
      <c r="A328" t="s">
        <v>345</v>
      </c>
      <c r="B328" s="15">
        <v>45711</v>
      </c>
      <c r="C328" t="s">
        <v>11</v>
      </c>
      <c r="D328" t="s">
        <v>20</v>
      </c>
      <c r="E328">
        <v>6474.56</v>
      </c>
      <c r="F328">
        <v>6338.94</v>
      </c>
      <c r="G328">
        <v>106540</v>
      </c>
      <c r="H328">
        <v>3157</v>
      </c>
      <c r="I328">
        <v>459</v>
      </c>
      <c r="J328">
        <v>13782.54</v>
      </c>
    </row>
    <row r="329" spans="1:10">
      <c r="A329" t="s">
        <v>346</v>
      </c>
      <c r="B329" s="15">
        <v>45640</v>
      </c>
      <c r="C329" t="s">
        <v>14</v>
      </c>
      <c r="D329" t="s">
        <v>15</v>
      </c>
      <c r="E329">
        <v>8396.39</v>
      </c>
      <c r="F329">
        <v>6985.62</v>
      </c>
      <c r="G329">
        <v>110667</v>
      </c>
      <c r="H329">
        <v>2560</v>
      </c>
      <c r="I329">
        <v>409</v>
      </c>
      <c r="J329">
        <v>9101.94</v>
      </c>
    </row>
    <row r="330" spans="1:10">
      <c r="A330" t="s">
        <v>347</v>
      </c>
      <c r="B330" s="15">
        <v>45798</v>
      </c>
      <c r="C330" t="s">
        <v>22</v>
      </c>
      <c r="D330" t="s">
        <v>17</v>
      </c>
      <c r="E330">
        <v>8097.32</v>
      </c>
      <c r="F330">
        <v>7681.5</v>
      </c>
      <c r="G330">
        <v>76558</v>
      </c>
      <c r="H330">
        <v>2247</v>
      </c>
      <c r="I330">
        <v>275</v>
      </c>
      <c r="J330">
        <v>11179.32</v>
      </c>
    </row>
    <row r="331" spans="1:10">
      <c r="A331" t="s">
        <v>348</v>
      </c>
      <c r="B331" s="15">
        <v>45647</v>
      </c>
      <c r="C331" t="s">
        <v>14</v>
      </c>
      <c r="D331" t="s">
        <v>20</v>
      </c>
      <c r="E331">
        <v>6043.79</v>
      </c>
      <c r="F331">
        <v>5281.79</v>
      </c>
      <c r="G331">
        <v>83532</v>
      </c>
      <c r="H331">
        <v>3585</v>
      </c>
      <c r="I331">
        <v>478</v>
      </c>
      <c r="J331">
        <v>21305.93</v>
      </c>
    </row>
    <row r="332" spans="1:10">
      <c r="A332" t="s">
        <v>349</v>
      </c>
      <c r="B332" s="15">
        <v>45695</v>
      </c>
      <c r="C332" t="s">
        <v>11</v>
      </c>
      <c r="D332" t="s">
        <v>15</v>
      </c>
      <c r="E332">
        <v>8595.91</v>
      </c>
      <c r="F332">
        <v>8668.19</v>
      </c>
      <c r="G332">
        <v>149998</v>
      </c>
      <c r="H332">
        <v>5998</v>
      </c>
      <c r="I332">
        <v>629</v>
      </c>
      <c r="J332">
        <v>17715.38</v>
      </c>
    </row>
    <row r="333" spans="1:10">
      <c r="A333" t="s">
        <v>350</v>
      </c>
      <c r="B333" s="15">
        <v>45737</v>
      </c>
      <c r="C333" t="s">
        <v>14</v>
      </c>
      <c r="D333" t="s">
        <v>12</v>
      </c>
      <c r="E333">
        <v>7131.61</v>
      </c>
      <c r="F333">
        <v>6477.59</v>
      </c>
      <c r="G333">
        <v>171861</v>
      </c>
      <c r="H333">
        <v>2743</v>
      </c>
      <c r="I333">
        <v>78</v>
      </c>
      <c r="J333">
        <v>1774.3</v>
      </c>
    </row>
    <row r="334" spans="1:10">
      <c r="A334" t="s">
        <v>351</v>
      </c>
      <c r="B334" s="15">
        <v>45725</v>
      </c>
      <c r="C334" t="s">
        <v>14</v>
      </c>
      <c r="D334" t="s">
        <v>15</v>
      </c>
      <c r="E334">
        <v>9421.2</v>
      </c>
      <c r="F334">
        <v>7923.66</v>
      </c>
      <c r="G334">
        <v>111608</v>
      </c>
      <c r="H334">
        <v>4858</v>
      </c>
      <c r="I334">
        <v>347</v>
      </c>
      <c r="J334">
        <v>16831.97</v>
      </c>
    </row>
    <row r="335" spans="1:10">
      <c r="A335" t="s">
        <v>352</v>
      </c>
      <c r="B335" s="15">
        <v>45777</v>
      </c>
      <c r="C335" t="s">
        <v>14</v>
      </c>
      <c r="D335" t="s">
        <v>17</v>
      </c>
      <c r="E335">
        <v>6122.04</v>
      </c>
      <c r="F335">
        <v>5237.65</v>
      </c>
      <c r="G335">
        <v>115362</v>
      </c>
      <c r="H335">
        <v>2448</v>
      </c>
      <c r="I335">
        <v>149</v>
      </c>
      <c r="J335">
        <v>5402.3</v>
      </c>
    </row>
    <row r="336" spans="1:10">
      <c r="A336" t="s">
        <v>353</v>
      </c>
      <c r="B336" s="15">
        <v>45794</v>
      </c>
      <c r="C336" t="s">
        <v>14</v>
      </c>
      <c r="D336" t="s">
        <v>15</v>
      </c>
      <c r="E336">
        <v>9110.62</v>
      </c>
      <c r="F336">
        <v>9289.8</v>
      </c>
      <c r="G336">
        <v>166037</v>
      </c>
      <c r="H336">
        <v>1929</v>
      </c>
      <c r="I336">
        <v>275</v>
      </c>
      <c r="J336">
        <v>12154.13</v>
      </c>
    </row>
    <row r="337" spans="1:10">
      <c r="A337" t="s">
        <v>354</v>
      </c>
      <c r="B337" s="15">
        <v>45793</v>
      </c>
      <c r="C337" t="s">
        <v>11</v>
      </c>
      <c r="D337" t="s">
        <v>17</v>
      </c>
      <c r="E337">
        <v>7611.48</v>
      </c>
      <c r="F337">
        <v>7669.96</v>
      </c>
      <c r="G337">
        <v>116079</v>
      </c>
      <c r="H337">
        <v>3243</v>
      </c>
      <c r="I337">
        <v>205</v>
      </c>
      <c r="J337">
        <v>9322.55</v>
      </c>
    </row>
    <row r="338" spans="1:10">
      <c r="A338" t="s">
        <v>355</v>
      </c>
      <c r="B338" s="15">
        <v>45685</v>
      </c>
      <c r="C338" t="s">
        <v>11</v>
      </c>
      <c r="D338" t="s">
        <v>20</v>
      </c>
      <c r="E338">
        <v>4747.68</v>
      </c>
      <c r="F338">
        <v>4495.23</v>
      </c>
      <c r="G338">
        <v>67946</v>
      </c>
      <c r="H338">
        <v>1270</v>
      </c>
      <c r="I338">
        <v>110</v>
      </c>
      <c r="J338">
        <v>2929.99</v>
      </c>
    </row>
    <row r="339" spans="1:10">
      <c r="A339" t="s">
        <v>356</v>
      </c>
      <c r="B339" s="15">
        <v>45637</v>
      </c>
      <c r="C339" t="s">
        <v>19</v>
      </c>
      <c r="D339" t="s">
        <v>12</v>
      </c>
      <c r="E339">
        <v>9913.68</v>
      </c>
      <c r="F339">
        <v>10738.67</v>
      </c>
      <c r="G339">
        <v>123947</v>
      </c>
      <c r="H339">
        <v>4068</v>
      </c>
      <c r="I339">
        <v>400</v>
      </c>
      <c r="J339">
        <v>8473.12</v>
      </c>
    </row>
    <row r="340" spans="1:10">
      <c r="A340" t="s">
        <v>357</v>
      </c>
      <c r="B340" s="15">
        <v>45788</v>
      </c>
      <c r="C340" t="s">
        <v>24</v>
      </c>
      <c r="D340" t="s">
        <v>12</v>
      </c>
      <c r="E340">
        <v>7939.03</v>
      </c>
      <c r="F340">
        <v>8554.9</v>
      </c>
      <c r="G340">
        <v>68639</v>
      </c>
      <c r="H340">
        <v>3348</v>
      </c>
      <c r="I340">
        <v>275</v>
      </c>
      <c r="J340">
        <v>6989.75</v>
      </c>
    </row>
    <row r="341" spans="1:10">
      <c r="A341" t="s">
        <v>358</v>
      </c>
      <c r="B341" s="15">
        <v>45664</v>
      </c>
      <c r="C341" t="s">
        <v>22</v>
      </c>
      <c r="D341" t="s">
        <v>15</v>
      </c>
      <c r="E341">
        <v>6975.62</v>
      </c>
      <c r="F341">
        <v>7496.33</v>
      </c>
      <c r="G341">
        <v>158533</v>
      </c>
      <c r="H341">
        <v>6076</v>
      </c>
      <c r="I341">
        <v>478</v>
      </c>
      <c r="J341">
        <v>10046.79</v>
      </c>
    </row>
    <row r="342" spans="1:10">
      <c r="A342" t="s">
        <v>359</v>
      </c>
      <c r="B342" s="15">
        <v>45763</v>
      </c>
      <c r="C342" t="s">
        <v>14</v>
      </c>
      <c r="D342" t="s">
        <v>12</v>
      </c>
      <c r="E342">
        <v>7881.94</v>
      </c>
      <c r="F342">
        <v>7008.66</v>
      </c>
      <c r="G342">
        <v>74923</v>
      </c>
      <c r="H342">
        <v>3598</v>
      </c>
      <c r="I342">
        <v>369</v>
      </c>
      <c r="J342">
        <v>17613.07</v>
      </c>
    </row>
    <row r="343" spans="1:10">
      <c r="A343" t="s">
        <v>360</v>
      </c>
      <c r="B343" s="15">
        <v>45784</v>
      </c>
      <c r="C343" t="s">
        <v>22</v>
      </c>
      <c r="D343" t="s">
        <v>17</v>
      </c>
      <c r="E343">
        <v>9797.41</v>
      </c>
      <c r="F343">
        <v>10613.34</v>
      </c>
      <c r="G343">
        <v>196954</v>
      </c>
      <c r="H343">
        <v>4588</v>
      </c>
      <c r="I343">
        <v>657</v>
      </c>
      <c r="J343">
        <v>22486.76</v>
      </c>
    </row>
    <row r="344" spans="1:10">
      <c r="A344" t="s">
        <v>361</v>
      </c>
      <c r="B344" s="15">
        <v>45735</v>
      </c>
      <c r="C344" t="s">
        <v>19</v>
      </c>
      <c r="D344" t="s">
        <v>15</v>
      </c>
      <c r="E344">
        <v>9034.3</v>
      </c>
      <c r="F344">
        <v>9516.41</v>
      </c>
      <c r="G344">
        <v>103912</v>
      </c>
      <c r="H344">
        <v>1528</v>
      </c>
      <c r="I344">
        <v>148</v>
      </c>
      <c r="J344">
        <v>4376.81</v>
      </c>
    </row>
    <row r="345" spans="1:10">
      <c r="A345" t="s">
        <v>362</v>
      </c>
      <c r="B345" s="15">
        <v>45656</v>
      </c>
      <c r="C345" t="s">
        <v>11</v>
      </c>
      <c r="D345" t="s">
        <v>17</v>
      </c>
      <c r="E345">
        <v>8802.41</v>
      </c>
      <c r="F345">
        <v>7139.65</v>
      </c>
      <c r="G345">
        <v>135367</v>
      </c>
      <c r="H345">
        <v>1109</v>
      </c>
      <c r="I345">
        <v>182</v>
      </c>
      <c r="J345">
        <v>6895.63</v>
      </c>
    </row>
    <row r="346" spans="1:10">
      <c r="A346" t="s">
        <v>363</v>
      </c>
      <c r="B346" s="15">
        <v>45753</v>
      </c>
      <c r="C346" t="s">
        <v>19</v>
      </c>
      <c r="D346" t="s">
        <v>20</v>
      </c>
      <c r="E346">
        <v>4610.06</v>
      </c>
      <c r="F346">
        <v>3854.79</v>
      </c>
      <c r="G346">
        <v>154277</v>
      </c>
      <c r="H346">
        <v>3322</v>
      </c>
      <c r="I346">
        <v>278</v>
      </c>
      <c r="J346">
        <v>6201.79</v>
      </c>
    </row>
    <row r="347" spans="1:10">
      <c r="A347" t="s">
        <v>364</v>
      </c>
      <c r="B347" s="15">
        <v>45707</v>
      </c>
      <c r="C347" t="s">
        <v>19</v>
      </c>
      <c r="D347" t="s">
        <v>20</v>
      </c>
      <c r="E347">
        <v>7874.02</v>
      </c>
      <c r="F347">
        <v>7102.07</v>
      </c>
      <c r="G347">
        <v>194871</v>
      </c>
      <c r="H347">
        <v>7907</v>
      </c>
      <c r="I347">
        <v>784</v>
      </c>
      <c r="J347">
        <v>32726.51</v>
      </c>
    </row>
    <row r="348" spans="1:10">
      <c r="A348" t="s">
        <v>365</v>
      </c>
      <c r="B348" s="15">
        <v>45797</v>
      </c>
      <c r="C348" t="s">
        <v>14</v>
      </c>
      <c r="D348" t="s">
        <v>17</v>
      </c>
      <c r="E348">
        <v>3457.49</v>
      </c>
      <c r="F348">
        <v>3093.03</v>
      </c>
      <c r="G348">
        <v>57427</v>
      </c>
      <c r="H348">
        <v>1092</v>
      </c>
      <c r="I348">
        <v>199</v>
      </c>
      <c r="J348">
        <v>7200.76</v>
      </c>
    </row>
    <row r="349" spans="1:10">
      <c r="A349" t="s">
        <v>366</v>
      </c>
      <c r="B349" s="15">
        <v>45653</v>
      </c>
      <c r="C349" t="s">
        <v>11</v>
      </c>
      <c r="D349" t="s">
        <v>20</v>
      </c>
      <c r="E349">
        <v>8535.06</v>
      </c>
      <c r="F349">
        <v>7644.22</v>
      </c>
      <c r="G349">
        <v>192331</v>
      </c>
      <c r="H349">
        <v>2108</v>
      </c>
      <c r="I349">
        <v>210</v>
      </c>
      <c r="J349">
        <v>8143.12</v>
      </c>
    </row>
    <row r="350" spans="1:10">
      <c r="A350" t="s">
        <v>367</v>
      </c>
      <c r="B350" s="15">
        <v>45807</v>
      </c>
      <c r="C350" t="s">
        <v>14</v>
      </c>
      <c r="D350" t="s">
        <v>12</v>
      </c>
      <c r="E350">
        <v>9201.84</v>
      </c>
      <c r="F350">
        <v>9061.59</v>
      </c>
      <c r="G350">
        <v>66208</v>
      </c>
      <c r="H350">
        <v>2170</v>
      </c>
      <c r="I350">
        <v>345</v>
      </c>
      <c r="J350">
        <v>9311.13</v>
      </c>
    </row>
    <row r="351" spans="1:10">
      <c r="A351" t="s">
        <v>368</v>
      </c>
      <c r="B351" s="15">
        <v>45726</v>
      </c>
      <c r="C351" t="s">
        <v>24</v>
      </c>
      <c r="D351" t="s">
        <v>20</v>
      </c>
      <c r="E351">
        <v>3170.81</v>
      </c>
      <c r="F351">
        <v>3364.32</v>
      </c>
      <c r="G351">
        <v>132053</v>
      </c>
      <c r="H351">
        <v>4867</v>
      </c>
      <c r="I351">
        <v>162</v>
      </c>
      <c r="J351">
        <v>3343.37</v>
      </c>
    </row>
    <row r="352" spans="1:10">
      <c r="A352" t="s">
        <v>369</v>
      </c>
      <c r="B352" s="15">
        <v>45745</v>
      </c>
      <c r="C352" t="s">
        <v>24</v>
      </c>
      <c r="D352" t="s">
        <v>12</v>
      </c>
      <c r="E352">
        <v>9122.91</v>
      </c>
      <c r="F352">
        <v>8745.96</v>
      </c>
      <c r="G352">
        <v>195707</v>
      </c>
      <c r="H352">
        <v>8454</v>
      </c>
      <c r="I352">
        <v>371</v>
      </c>
      <c r="J352">
        <v>17871.82</v>
      </c>
    </row>
    <row r="353" spans="1:10">
      <c r="A353" t="s">
        <v>370</v>
      </c>
      <c r="B353" s="15">
        <v>45776</v>
      </c>
      <c r="C353" t="s">
        <v>11</v>
      </c>
      <c r="D353" t="s">
        <v>20</v>
      </c>
      <c r="E353">
        <v>8591.48</v>
      </c>
      <c r="F353">
        <v>9445.3</v>
      </c>
      <c r="G353">
        <v>106946</v>
      </c>
      <c r="H353">
        <v>4278</v>
      </c>
      <c r="I353">
        <v>149</v>
      </c>
      <c r="J353">
        <v>4547.68</v>
      </c>
    </row>
    <row r="354" spans="1:10">
      <c r="A354" t="s">
        <v>371</v>
      </c>
      <c r="B354" s="15">
        <v>45663</v>
      </c>
      <c r="C354" t="s">
        <v>11</v>
      </c>
      <c r="D354" t="s">
        <v>17</v>
      </c>
      <c r="E354">
        <v>8370.32</v>
      </c>
      <c r="F354">
        <v>7705.54</v>
      </c>
      <c r="G354">
        <v>170434</v>
      </c>
      <c r="H354">
        <v>6373</v>
      </c>
      <c r="I354">
        <v>533</v>
      </c>
      <c r="J354">
        <v>18333.21</v>
      </c>
    </row>
    <row r="355" spans="1:10">
      <c r="A355" t="s">
        <v>372</v>
      </c>
      <c r="B355" s="15">
        <v>45642</v>
      </c>
      <c r="C355" t="s">
        <v>11</v>
      </c>
      <c r="D355" t="s">
        <v>20</v>
      </c>
      <c r="E355">
        <v>7392.54</v>
      </c>
      <c r="F355">
        <v>7851.64</v>
      </c>
      <c r="G355">
        <v>61724</v>
      </c>
      <c r="H355">
        <v>1074</v>
      </c>
      <c r="I355">
        <v>134</v>
      </c>
      <c r="J355">
        <v>6636.02</v>
      </c>
    </row>
    <row r="356" spans="1:10">
      <c r="A356" t="s">
        <v>373</v>
      </c>
      <c r="B356" s="15">
        <v>45767</v>
      </c>
      <c r="C356" t="s">
        <v>24</v>
      </c>
      <c r="D356" t="s">
        <v>20</v>
      </c>
      <c r="E356">
        <v>8377.91</v>
      </c>
      <c r="F356">
        <v>7752.33</v>
      </c>
      <c r="G356">
        <v>194762</v>
      </c>
      <c r="H356">
        <v>1009</v>
      </c>
      <c r="I356">
        <v>129</v>
      </c>
      <c r="J356">
        <v>4210.65</v>
      </c>
    </row>
    <row r="357" spans="1:10">
      <c r="A357" t="s">
        <v>374</v>
      </c>
      <c r="B357" s="15">
        <v>45685</v>
      </c>
      <c r="C357" t="s">
        <v>19</v>
      </c>
      <c r="D357" t="s">
        <v>17</v>
      </c>
      <c r="E357">
        <v>8163.08</v>
      </c>
      <c r="F357">
        <v>7115.21</v>
      </c>
      <c r="G357">
        <v>188259</v>
      </c>
      <c r="H357">
        <v>3527</v>
      </c>
      <c r="I357">
        <v>426</v>
      </c>
      <c r="J357">
        <v>9931.86</v>
      </c>
    </row>
    <row r="358" spans="1:10">
      <c r="A358" t="s">
        <v>375</v>
      </c>
      <c r="B358" s="15">
        <v>45818</v>
      </c>
      <c r="C358" t="s">
        <v>11</v>
      </c>
      <c r="D358" t="s">
        <v>12</v>
      </c>
      <c r="E358">
        <v>5482.36</v>
      </c>
      <c r="F358">
        <v>4858.31</v>
      </c>
      <c r="G358">
        <v>99224</v>
      </c>
      <c r="H358">
        <v>3662</v>
      </c>
      <c r="I358">
        <v>233</v>
      </c>
      <c r="J358">
        <v>6731.19</v>
      </c>
    </row>
    <row r="359" spans="1:10">
      <c r="A359" t="s">
        <v>376</v>
      </c>
      <c r="B359" s="15">
        <v>45730</v>
      </c>
      <c r="C359" t="s">
        <v>22</v>
      </c>
      <c r="D359" t="s">
        <v>12</v>
      </c>
      <c r="E359">
        <v>4635.25</v>
      </c>
      <c r="F359">
        <v>3766.73</v>
      </c>
      <c r="G359">
        <v>83109</v>
      </c>
      <c r="H359">
        <v>3984</v>
      </c>
      <c r="I359">
        <v>764</v>
      </c>
      <c r="J359">
        <v>15689.67</v>
      </c>
    </row>
    <row r="360" spans="1:10">
      <c r="A360" t="s">
        <v>377</v>
      </c>
      <c r="B360" s="15">
        <v>45712</v>
      </c>
      <c r="C360" t="s">
        <v>11</v>
      </c>
      <c r="D360" t="s">
        <v>12</v>
      </c>
      <c r="E360">
        <v>9914.06</v>
      </c>
      <c r="F360">
        <v>9203.54</v>
      </c>
      <c r="G360">
        <v>111688</v>
      </c>
      <c r="H360">
        <v>2013</v>
      </c>
      <c r="I360">
        <v>234</v>
      </c>
      <c r="J360">
        <v>7377.97</v>
      </c>
    </row>
    <row r="361" spans="1:10">
      <c r="A361" t="s">
        <v>378</v>
      </c>
      <c r="B361" s="15">
        <v>45693</v>
      </c>
      <c r="C361" t="s">
        <v>24</v>
      </c>
      <c r="D361" t="s">
        <v>15</v>
      </c>
      <c r="E361">
        <v>7757.53</v>
      </c>
      <c r="F361">
        <v>6713.96</v>
      </c>
      <c r="G361">
        <v>134861</v>
      </c>
      <c r="H361">
        <v>3399</v>
      </c>
      <c r="I361">
        <v>139</v>
      </c>
      <c r="J361">
        <v>6741.34</v>
      </c>
    </row>
    <row r="362" spans="1:10">
      <c r="A362" t="s">
        <v>379</v>
      </c>
      <c r="B362" s="15">
        <v>45645</v>
      </c>
      <c r="C362" t="s">
        <v>19</v>
      </c>
      <c r="D362" t="s">
        <v>20</v>
      </c>
      <c r="E362">
        <v>8504.42</v>
      </c>
      <c r="F362">
        <v>7031.65</v>
      </c>
      <c r="G362">
        <v>176820</v>
      </c>
      <c r="H362">
        <v>1932</v>
      </c>
      <c r="I362">
        <v>64</v>
      </c>
      <c r="J362">
        <v>2081.76</v>
      </c>
    </row>
    <row r="363" spans="1:10">
      <c r="A363" t="s">
        <v>380</v>
      </c>
      <c r="B363" s="15">
        <v>45793</v>
      </c>
      <c r="C363" t="s">
        <v>19</v>
      </c>
      <c r="D363" t="s">
        <v>20</v>
      </c>
      <c r="E363">
        <v>9153.83</v>
      </c>
      <c r="F363">
        <v>9917.44</v>
      </c>
      <c r="G363">
        <v>86387</v>
      </c>
      <c r="H363">
        <v>2059</v>
      </c>
      <c r="I363">
        <v>67</v>
      </c>
      <c r="J363">
        <v>2279.48</v>
      </c>
    </row>
    <row r="364" spans="1:10">
      <c r="A364" t="s">
        <v>381</v>
      </c>
      <c r="B364" s="15">
        <v>45765</v>
      </c>
      <c r="C364" t="s">
        <v>19</v>
      </c>
      <c r="D364" t="s">
        <v>20</v>
      </c>
      <c r="E364">
        <v>7293.88</v>
      </c>
      <c r="F364">
        <v>6200.6</v>
      </c>
      <c r="G364">
        <v>53430</v>
      </c>
      <c r="H364">
        <v>2126</v>
      </c>
      <c r="I364">
        <v>397</v>
      </c>
      <c r="J364">
        <v>19744.82</v>
      </c>
    </row>
    <row r="365" spans="1:10">
      <c r="A365" t="s">
        <v>382</v>
      </c>
      <c r="B365" s="15">
        <v>45686</v>
      </c>
      <c r="C365" t="s">
        <v>11</v>
      </c>
      <c r="D365" t="s">
        <v>20</v>
      </c>
      <c r="E365">
        <v>4621.7</v>
      </c>
      <c r="F365">
        <v>5004.47</v>
      </c>
      <c r="G365">
        <v>164936</v>
      </c>
      <c r="H365">
        <v>4651</v>
      </c>
      <c r="I365">
        <v>231</v>
      </c>
      <c r="J365">
        <v>9122.05</v>
      </c>
    </row>
    <row r="366" spans="1:10">
      <c r="A366" t="s">
        <v>383</v>
      </c>
      <c r="B366" s="15">
        <v>45726</v>
      </c>
      <c r="C366" t="s">
        <v>19</v>
      </c>
      <c r="D366" t="s">
        <v>20</v>
      </c>
      <c r="E366">
        <v>7254.16</v>
      </c>
      <c r="F366">
        <v>6919.07</v>
      </c>
      <c r="G366">
        <v>152738</v>
      </c>
      <c r="H366">
        <v>4601</v>
      </c>
      <c r="I366">
        <v>244</v>
      </c>
      <c r="J366">
        <v>6568.5</v>
      </c>
    </row>
    <row r="367" spans="1:10">
      <c r="A367" t="s">
        <v>384</v>
      </c>
      <c r="B367" s="15">
        <v>45694</v>
      </c>
      <c r="C367" t="s">
        <v>19</v>
      </c>
      <c r="D367" t="s">
        <v>20</v>
      </c>
      <c r="E367">
        <v>4235.7</v>
      </c>
      <c r="F367">
        <v>3668.73</v>
      </c>
      <c r="G367">
        <v>76927</v>
      </c>
      <c r="H367">
        <v>1398</v>
      </c>
      <c r="I367">
        <v>241</v>
      </c>
      <c r="J367">
        <v>6167.95</v>
      </c>
    </row>
    <row r="368" spans="1:10">
      <c r="A368" t="s">
        <v>385</v>
      </c>
      <c r="B368" s="15">
        <v>45736</v>
      </c>
      <c r="C368" t="s">
        <v>22</v>
      </c>
      <c r="D368" t="s">
        <v>17</v>
      </c>
      <c r="E368">
        <v>8457.09</v>
      </c>
      <c r="F368">
        <v>7653.98</v>
      </c>
      <c r="G368">
        <v>69189</v>
      </c>
      <c r="H368">
        <v>1438</v>
      </c>
      <c r="I368">
        <v>105</v>
      </c>
      <c r="J368">
        <v>2282.2</v>
      </c>
    </row>
    <row r="369" spans="1:10">
      <c r="A369" t="s">
        <v>386</v>
      </c>
      <c r="B369" s="15">
        <v>45747</v>
      </c>
      <c r="C369" t="s">
        <v>22</v>
      </c>
      <c r="D369" t="s">
        <v>12</v>
      </c>
      <c r="E369">
        <v>9783.72</v>
      </c>
      <c r="F369">
        <v>10420.99</v>
      </c>
      <c r="G369">
        <v>127993</v>
      </c>
      <c r="H369">
        <v>3954</v>
      </c>
      <c r="I369">
        <v>611</v>
      </c>
      <c r="J369">
        <v>29225.7</v>
      </c>
    </row>
    <row r="370" spans="1:10">
      <c r="A370" t="s">
        <v>387</v>
      </c>
      <c r="B370" s="15">
        <v>45719</v>
      </c>
      <c r="C370" t="s">
        <v>14</v>
      </c>
      <c r="D370" t="s">
        <v>17</v>
      </c>
      <c r="E370">
        <v>9964.35</v>
      </c>
      <c r="F370">
        <v>8491.31</v>
      </c>
      <c r="G370">
        <v>124998</v>
      </c>
      <c r="H370">
        <v>5305</v>
      </c>
      <c r="I370">
        <v>1051</v>
      </c>
      <c r="J370">
        <v>33513.51</v>
      </c>
    </row>
    <row r="371" spans="1:10">
      <c r="A371" t="s">
        <v>388</v>
      </c>
      <c r="B371" s="15">
        <v>45693</v>
      </c>
      <c r="C371" t="s">
        <v>11</v>
      </c>
      <c r="D371" t="s">
        <v>12</v>
      </c>
      <c r="E371">
        <v>8307.67</v>
      </c>
      <c r="F371">
        <v>8380.83</v>
      </c>
      <c r="G371">
        <v>107520</v>
      </c>
      <c r="H371">
        <v>2601</v>
      </c>
      <c r="I371">
        <v>369</v>
      </c>
      <c r="J371">
        <v>9083.63</v>
      </c>
    </row>
    <row r="372" spans="1:10">
      <c r="A372" t="s">
        <v>389</v>
      </c>
      <c r="B372" s="15">
        <v>45655</v>
      </c>
      <c r="C372" t="s">
        <v>19</v>
      </c>
      <c r="D372" t="s">
        <v>20</v>
      </c>
      <c r="E372">
        <v>8710.83</v>
      </c>
      <c r="F372">
        <v>7555.18</v>
      </c>
      <c r="G372">
        <v>117796</v>
      </c>
      <c r="H372">
        <v>2015</v>
      </c>
      <c r="I372">
        <v>234</v>
      </c>
      <c r="J372">
        <v>6251.2</v>
      </c>
    </row>
    <row r="373" spans="1:10">
      <c r="A373" t="s">
        <v>390</v>
      </c>
      <c r="B373" s="15">
        <v>45692</v>
      </c>
      <c r="C373" t="s">
        <v>24</v>
      </c>
      <c r="D373" t="s">
        <v>17</v>
      </c>
      <c r="E373">
        <v>6758.82</v>
      </c>
      <c r="F373">
        <v>6609.33</v>
      </c>
      <c r="G373">
        <v>56417</v>
      </c>
      <c r="H373">
        <v>2121</v>
      </c>
      <c r="I373">
        <v>213</v>
      </c>
      <c r="J373">
        <v>7966.75</v>
      </c>
    </row>
    <row r="374" spans="1:10">
      <c r="A374" t="s">
        <v>391</v>
      </c>
      <c r="B374" s="15">
        <v>45698</v>
      </c>
      <c r="C374" t="s">
        <v>14</v>
      </c>
      <c r="D374" t="s">
        <v>15</v>
      </c>
      <c r="E374">
        <v>3640.41</v>
      </c>
      <c r="F374">
        <v>3870.62</v>
      </c>
      <c r="G374">
        <v>133159</v>
      </c>
      <c r="H374">
        <v>6315</v>
      </c>
      <c r="I374">
        <v>1233</v>
      </c>
      <c r="J374">
        <v>34484.55</v>
      </c>
    </row>
    <row r="375" spans="1:10">
      <c r="A375" t="s">
        <v>392</v>
      </c>
      <c r="B375" s="15">
        <v>45785</v>
      </c>
      <c r="C375" t="s">
        <v>24</v>
      </c>
      <c r="D375" t="s">
        <v>20</v>
      </c>
      <c r="E375">
        <v>3906.6</v>
      </c>
      <c r="F375">
        <v>4166.87</v>
      </c>
      <c r="G375">
        <v>184724</v>
      </c>
      <c r="H375">
        <v>5850</v>
      </c>
      <c r="I375">
        <v>633</v>
      </c>
      <c r="J375">
        <v>30807.82</v>
      </c>
    </row>
    <row r="376" spans="1:10">
      <c r="A376" t="s">
        <v>393</v>
      </c>
      <c r="B376" s="15">
        <v>45644</v>
      </c>
      <c r="C376" t="s">
        <v>14</v>
      </c>
      <c r="D376" t="s">
        <v>15</v>
      </c>
      <c r="E376">
        <v>9034.89</v>
      </c>
      <c r="F376">
        <v>9422.08</v>
      </c>
      <c r="G376">
        <v>184680</v>
      </c>
      <c r="H376">
        <v>7103</v>
      </c>
      <c r="I376">
        <v>104</v>
      </c>
      <c r="J376">
        <v>4124.35</v>
      </c>
    </row>
    <row r="377" spans="1:10">
      <c r="A377" t="s">
        <v>394</v>
      </c>
      <c r="B377" s="15">
        <v>45743</v>
      </c>
      <c r="C377" t="s">
        <v>24</v>
      </c>
      <c r="D377" t="s">
        <v>12</v>
      </c>
      <c r="E377">
        <v>6856</v>
      </c>
      <c r="F377">
        <v>5663.71</v>
      </c>
      <c r="G377">
        <v>89044</v>
      </c>
      <c r="H377">
        <v>2861</v>
      </c>
      <c r="I377">
        <v>262</v>
      </c>
      <c r="J377">
        <v>8450.44</v>
      </c>
    </row>
    <row r="378" spans="1:10">
      <c r="A378" t="s">
        <v>395</v>
      </c>
      <c r="B378" s="15">
        <v>45654</v>
      </c>
      <c r="C378" t="s">
        <v>24</v>
      </c>
      <c r="D378" t="s">
        <v>20</v>
      </c>
      <c r="E378">
        <v>5608.82</v>
      </c>
      <c r="F378">
        <v>4924.13</v>
      </c>
      <c r="G378">
        <v>146101</v>
      </c>
      <c r="H378">
        <v>1999</v>
      </c>
      <c r="I378">
        <v>79</v>
      </c>
      <c r="J378">
        <v>3294.51</v>
      </c>
    </row>
    <row r="379" spans="1:10">
      <c r="A379" t="s">
        <v>396</v>
      </c>
      <c r="B379" s="15">
        <v>45675</v>
      </c>
      <c r="C379" t="s">
        <v>14</v>
      </c>
      <c r="D379" t="s">
        <v>15</v>
      </c>
      <c r="E379">
        <v>6471.13</v>
      </c>
      <c r="F379">
        <v>5334.24</v>
      </c>
      <c r="G379">
        <v>130452</v>
      </c>
      <c r="H379">
        <v>4881</v>
      </c>
      <c r="I379">
        <v>864</v>
      </c>
      <c r="J379">
        <v>22987.15</v>
      </c>
    </row>
    <row r="380" spans="1:10">
      <c r="A380" t="s">
        <v>397</v>
      </c>
      <c r="B380" s="15">
        <v>45766</v>
      </c>
      <c r="C380" t="s">
        <v>19</v>
      </c>
      <c r="D380" t="s">
        <v>20</v>
      </c>
      <c r="E380">
        <v>7782.81</v>
      </c>
      <c r="F380">
        <v>6404</v>
      </c>
      <c r="G380">
        <v>115837</v>
      </c>
      <c r="H380">
        <v>5035</v>
      </c>
      <c r="I380">
        <v>407</v>
      </c>
      <c r="J380">
        <v>18533.24</v>
      </c>
    </row>
    <row r="381" spans="1:10">
      <c r="A381" t="s">
        <v>398</v>
      </c>
      <c r="B381" s="15">
        <v>45787</v>
      </c>
      <c r="C381" t="s">
        <v>11</v>
      </c>
      <c r="D381" t="s">
        <v>12</v>
      </c>
      <c r="E381">
        <v>6466.03</v>
      </c>
      <c r="F381">
        <v>6105.07</v>
      </c>
      <c r="G381">
        <v>186219</v>
      </c>
      <c r="H381">
        <v>6823</v>
      </c>
      <c r="I381">
        <v>526</v>
      </c>
      <c r="J381">
        <v>19868.19</v>
      </c>
    </row>
    <row r="382" spans="1:10">
      <c r="A382" t="s">
        <v>399</v>
      </c>
      <c r="B382" s="15">
        <v>45693</v>
      </c>
      <c r="C382" t="s">
        <v>19</v>
      </c>
      <c r="D382" t="s">
        <v>17</v>
      </c>
      <c r="E382">
        <v>8772.77</v>
      </c>
      <c r="F382">
        <v>7933.59</v>
      </c>
      <c r="G382">
        <v>165044</v>
      </c>
      <c r="H382">
        <v>3343</v>
      </c>
      <c r="I382">
        <v>448</v>
      </c>
      <c r="J382">
        <v>18072.54</v>
      </c>
    </row>
    <row r="383" spans="1:10">
      <c r="A383" t="s">
        <v>400</v>
      </c>
      <c r="B383" s="15">
        <v>45762</v>
      </c>
      <c r="C383" t="s">
        <v>11</v>
      </c>
      <c r="D383" t="s">
        <v>17</v>
      </c>
      <c r="E383">
        <v>6960.12</v>
      </c>
      <c r="F383">
        <v>6125.66</v>
      </c>
      <c r="G383">
        <v>181245</v>
      </c>
      <c r="H383">
        <v>4787</v>
      </c>
      <c r="I383">
        <v>615</v>
      </c>
      <c r="J383">
        <v>28510.72</v>
      </c>
    </row>
    <row r="384" spans="1:10">
      <c r="A384" t="s">
        <v>401</v>
      </c>
      <c r="B384" s="15">
        <v>45815</v>
      </c>
      <c r="C384" t="s">
        <v>22</v>
      </c>
      <c r="D384" t="s">
        <v>20</v>
      </c>
      <c r="E384">
        <v>8581.98</v>
      </c>
      <c r="F384">
        <v>8560.83</v>
      </c>
      <c r="G384">
        <v>125026</v>
      </c>
      <c r="H384">
        <v>4106</v>
      </c>
      <c r="I384">
        <v>468</v>
      </c>
      <c r="J384">
        <v>21302.17</v>
      </c>
    </row>
    <row r="385" spans="1:10">
      <c r="A385" t="s">
        <v>402</v>
      </c>
      <c r="B385" s="15">
        <v>45699</v>
      </c>
      <c r="C385" t="s">
        <v>14</v>
      </c>
      <c r="D385" t="s">
        <v>17</v>
      </c>
      <c r="E385">
        <v>9071.06</v>
      </c>
      <c r="F385">
        <v>9184.53</v>
      </c>
      <c r="G385">
        <v>172320</v>
      </c>
      <c r="H385">
        <v>5189</v>
      </c>
      <c r="I385">
        <v>470</v>
      </c>
      <c r="J385">
        <v>21201.89</v>
      </c>
    </row>
    <row r="386" spans="1:10">
      <c r="A386" t="s">
        <v>403</v>
      </c>
      <c r="B386" s="15">
        <v>45752</v>
      </c>
      <c r="C386" t="s">
        <v>11</v>
      </c>
      <c r="D386" t="s">
        <v>20</v>
      </c>
      <c r="E386">
        <v>7882.3</v>
      </c>
      <c r="F386">
        <v>7914.16</v>
      </c>
      <c r="G386">
        <v>169951</v>
      </c>
      <c r="H386">
        <v>5839</v>
      </c>
      <c r="I386">
        <v>987</v>
      </c>
      <c r="J386">
        <v>38057.08</v>
      </c>
    </row>
    <row r="387" spans="1:10">
      <c r="A387" t="s">
        <v>404</v>
      </c>
      <c r="B387" s="15">
        <v>45758</v>
      </c>
      <c r="C387" t="s">
        <v>11</v>
      </c>
      <c r="D387" t="s">
        <v>15</v>
      </c>
      <c r="E387">
        <v>8269.02</v>
      </c>
      <c r="F387">
        <v>7008.67</v>
      </c>
      <c r="G387">
        <v>117094</v>
      </c>
      <c r="H387">
        <v>1370</v>
      </c>
      <c r="I387">
        <v>194</v>
      </c>
      <c r="J387">
        <v>9006.67</v>
      </c>
    </row>
    <row r="388" spans="1:10">
      <c r="A388" t="s">
        <v>405</v>
      </c>
      <c r="B388" s="15">
        <v>45752</v>
      </c>
      <c r="C388" t="s">
        <v>19</v>
      </c>
      <c r="D388" t="s">
        <v>15</v>
      </c>
      <c r="E388">
        <v>9102.9</v>
      </c>
      <c r="F388">
        <v>7362.19</v>
      </c>
      <c r="G388">
        <v>54766</v>
      </c>
      <c r="H388">
        <v>2723</v>
      </c>
      <c r="I388">
        <v>466</v>
      </c>
      <c r="J388">
        <v>20864.92</v>
      </c>
    </row>
    <row r="389" spans="1:10">
      <c r="A389" t="s">
        <v>406</v>
      </c>
      <c r="B389" s="15">
        <v>45667</v>
      </c>
      <c r="C389" t="s">
        <v>19</v>
      </c>
      <c r="D389" t="s">
        <v>20</v>
      </c>
      <c r="E389">
        <v>3902.09</v>
      </c>
      <c r="F389">
        <v>3513.97</v>
      </c>
      <c r="G389">
        <v>197025</v>
      </c>
      <c r="H389">
        <v>6420</v>
      </c>
      <c r="I389">
        <v>253</v>
      </c>
      <c r="J389">
        <v>10703.23</v>
      </c>
    </row>
    <row r="390" spans="1:10">
      <c r="A390" t="s">
        <v>407</v>
      </c>
      <c r="B390" s="15">
        <v>45716</v>
      </c>
      <c r="C390" t="s">
        <v>11</v>
      </c>
      <c r="D390" t="s">
        <v>15</v>
      </c>
      <c r="E390">
        <v>4125.32</v>
      </c>
      <c r="F390">
        <v>4312.57</v>
      </c>
      <c r="G390">
        <v>119124</v>
      </c>
      <c r="H390">
        <v>3940</v>
      </c>
      <c r="I390">
        <v>727</v>
      </c>
      <c r="J390">
        <v>32688.85</v>
      </c>
    </row>
    <row r="391" spans="1:10">
      <c r="A391" t="s">
        <v>408</v>
      </c>
      <c r="B391" s="15">
        <v>45815</v>
      </c>
      <c r="C391" t="s">
        <v>19</v>
      </c>
      <c r="D391" t="s">
        <v>20</v>
      </c>
      <c r="E391">
        <v>6552.27</v>
      </c>
      <c r="F391">
        <v>5254.37</v>
      </c>
      <c r="G391">
        <v>68519</v>
      </c>
      <c r="H391">
        <v>3190</v>
      </c>
      <c r="I391">
        <v>282</v>
      </c>
      <c r="J391">
        <v>8068.34</v>
      </c>
    </row>
    <row r="392" spans="1:10">
      <c r="A392" t="s">
        <v>409</v>
      </c>
      <c r="B392" s="15">
        <v>45697</v>
      </c>
      <c r="C392" t="s">
        <v>11</v>
      </c>
      <c r="D392" t="s">
        <v>20</v>
      </c>
      <c r="E392">
        <v>7318.49</v>
      </c>
      <c r="F392">
        <v>8009.03</v>
      </c>
      <c r="G392">
        <v>140986</v>
      </c>
      <c r="H392">
        <v>2922</v>
      </c>
      <c r="I392">
        <v>339</v>
      </c>
      <c r="J392">
        <v>13205.54</v>
      </c>
    </row>
    <row r="393" spans="1:10">
      <c r="A393" t="s">
        <v>410</v>
      </c>
      <c r="B393" s="15">
        <v>45762</v>
      </c>
      <c r="C393" t="s">
        <v>11</v>
      </c>
      <c r="D393" t="s">
        <v>20</v>
      </c>
      <c r="E393">
        <v>4818.63</v>
      </c>
      <c r="F393">
        <v>4771.42</v>
      </c>
      <c r="G393">
        <v>175888</v>
      </c>
      <c r="H393">
        <v>8565</v>
      </c>
      <c r="I393">
        <v>610</v>
      </c>
      <c r="J393">
        <v>22081.73</v>
      </c>
    </row>
    <row r="394" spans="1:10">
      <c r="A394" t="s">
        <v>411</v>
      </c>
      <c r="B394" s="15">
        <v>45645</v>
      </c>
      <c r="C394" t="s">
        <v>14</v>
      </c>
      <c r="D394" t="s">
        <v>15</v>
      </c>
      <c r="E394">
        <v>8458.92</v>
      </c>
      <c r="F394">
        <v>7038.62</v>
      </c>
      <c r="G394">
        <v>187533</v>
      </c>
      <c r="H394">
        <v>7387</v>
      </c>
      <c r="I394">
        <v>925</v>
      </c>
      <c r="J394">
        <v>39618.52</v>
      </c>
    </row>
    <row r="395" spans="1:10">
      <c r="A395" t="s">
        <v>412</v>
      </c>
      <c r="B395" s="15">
        <v>45727</v>
      </c>
      <c r="C395" t="s">
        <v>22</v>
      </c>
      <c r="D395" t="s">
        <v>15</v>
      </c>
      <c r="E395">
        <v>6788.87</v>
      </c>
      <c r="F395">
        <v>7392.38</v>
      </c>
      <c r="G395">
        <v>91252</v>
      </c>
      <c r="H395">
        <v>1758</v>
      </c>
      <c r="I395">
        <v>270</v>
      </c>
      <c r="J395">
        <v>8169.16</v>
      </c>
    </row>
    <row r="396" spans="1:10">
      <c r="A396" t="s">
        <v>413</v>
      </c>
      <c r="B396" s="15">
        <v>45742</v>
      </c>
      <c r="C396" t="s">
        <v>14</v>
      </c>
      <c r="D396" t="s">
        <v>12</v>
      </c>
      <c r="E396">
        <v>7428.35</v>
      </c>
      <c r="F396">
        <v>8019.71</v>
      </c>
      <c r="G396">
        <v>145695</v>
      </c>
      <c r="H396">
        <v>2785</v>
      </c>
      <c r="I396">
        <v>83</v>
      </c>
      <c r="J396">
        <v>1915.25</v>
      </c>
    </row>
    <row r="397" spans="1:10">
      <c r="A397" t="s">
        <v>414</v>
      </c>
      <c r="B397" s="15">
        <v>45786</v>
      </c>
      <c r="C397" t="s">
        <v>14</v>
      </c>
      <c r="D397" t="s">
        <v>15</v>
      </c>
      <c r="E397">
        <v>9560.6</v>
      </c>
      <c r="F397">
        <v>9621.46</v>
      </c>
      <c r="G397">
        <v>165271</v>
      </c>
      <c r="H397">
        <v>3470</v>
      </c>
      <c r="I397">
        <v>651</v>
      </c>
      <c r="J397">
        <v>14344.86</v>
      </c>
    </row>
    <row r="398" spans="1:10">
      <c r="A398" t="s">
        <v>415</v>
      </c>
      <c r="B398" s="15">
        <v>45777</v>
      </c>
      <c r="C398" t="s">
        <v>22</v>
      </c>
      <c r="D398" t="s">
        <v>15</v>
      </c>
      <c r="E398">
        <v>5106.74</v>
      </c>
      <c r="F398">
        <v>5170.33</v>
      </c>
      <c r="G398">
        <v>69967</v>
      </c>
      <c r="H398">
        <v>1422</v>
      </c>
      <c r="I398">
        <v>153</v>
      </c>
      <c r="J398">
        <v>3369.14</v>
      </c>
    </row>
    <row r="399" spans="1:10">
      <c r="A399" t="s">
        <v>416</v>
      </c>
      <c r="B399" s="15">
        <v>45767</v>
      </c>
      <c r="C399" t="s">
        <v>24</v>
      </c>
      <c r="D399" t="s">
        <v>12</v>
      </c>
      <c r="E399">
        <v>7075.19</v>
      </c>
      <c r="F399">
        <v>6394.31</v>
      </c>
      <c r="G399">
        <v>193477</v>
      </c>
      <c r="H399">
        <v>8585</v>
      </c>
      <c r="I399">
        <v>591</v>
      </c>
      <c r="J399">
        <v>22828.83</v>
      </c>
    </row>
    <row r="400" spans="1:10">
      <c r="A400" t="s">
        <v>417</v>
      </c>
      <c r="B400" s="15">
        <v>45719</v>
      </c>
      <c r="C400" t="s">
        <v>24</v>
      </c>
      <c r="D400" t="s">
        <v>12</v>
      </c>
      <c r="E400">
        <v>3320.19</v>
      </c>
      <c r="F400">
        <v>3524.25</v>
      </c>
      <c r="G400">
        <v>180485</v>
      </c>
      <c r="H400">
        <v>1392</v>
      </c>
      <c r="I400">
        <v>278</v>
      </c>
      <c r="J400">
        <v>13678.9</v>
      </c>
    </row>
    <row r="401" spans="1:10">
      <c r="A401" t="s">
        <v>418</v>
      </c>
      <c r="B401" s="15">
        <v>45722</v>
      </c>
      <c r="C401" t="s">
        <v>11</v>
      </c>
      <c r="D401" t="s">
        <v>17</v>
      </c>
      <c r="E401">
        <v>9782.14</v>
      </c>
      <c r="F401">
        <v>10025.67</v>
      </c>
      <c r="G401">
        <v>149220</v>
      </c>
      <c r="H401">
        <v>5688</v>
      </c>
      <c r="I401">
        <v>531</v>
      </c>
      <c r="J401">
        <v>12692.27</v>
      </c>
    </row>
    <row r="402" spans="1:10">
      <c r="A402" t="s">
        <v>419</v>
      </c>
      <c r="B402" s="15">
        <v>45771</v>
      </c>
      <c r="C402" t="s">
        <v>22</v>
      </c>
      <c r="D402" t="s">
        <v>15</v>
      </c>
      <c r="E402">
        <v>8307.84</v>
      </c>
      <c r="F402">
        <v>6707.55</v>
      </c>
      <c r="G402">
        <v>128069</v>
      </c>
      <c r="H402">
        <v>2283</v>
      </c>
      <c r="I402">
        <v>270</v>
      </c>
      <c r="J402">
        <v>5579.2</v>
      </c>
    </row>
    <row r="403" spans="1:10">
      <c r="A403" t="s">
        <v>420</v>
      </c>
      <c r="B403" s="15">
        <v>45705</v>
      </c>
      <c r="C403" t="s">
        <v>22</v>
      </c>
      <c r="D403" t="s">
        <v>12</v>
      </c>
      <c r="E403">
        <v>5265.27</v>
      </c>
      <c r="F403">
        <v>4984.07</v>
      </c>
      <c r="G403">
        <v>50640</v>
      </c>
      <c r="H403">
        <v>1609</v>
      </c>
      <c r="I403">
        <v>321</v>
      </c>
      <c r="J403">
        <v>13839.02</v>
      </c>
    </row>
    <row r="404" spans="1:10">
      <c r="A404" t="s">
        <v>421</v>
      </c>
      <c r="B404" s="15">
        <v>45802</v>
      </c>
      <c r="C404" t="s">
        <v>14</v>
      </c>
      <c r="D404" t="s">
        <v>20</v>
      </c>
      <c r="E404">
        <v>7783.07</v>
      </c>
      <c r="F404">
        <v>7267.6</v>
      </c>
      <c r="G404">
        <v>159631</v>
      </c>
      <c r="H404">
        <v>5836</v>
      </c>
      <c r="I404">
        <v>861</v>
      </c>
      <c r="J404">
        <v>24287.78</v>
      </c>
    </row>
    <row r="405" spans="1:10">
      <c r="A405" t="s">
        <v>422</v>
      </c>
      <c r="B405" s="15">
        <v>45652</v>
      </c>
      <c r="C405" t="s">
        <v>24</v>
      </c>
      <c r="D405" t="s">
        <v>20</v>
      </c>
      <c r="E405">
        <v>9979.87</v>
      </c>
      <c r="F405">
        <v>9259.87</v>
      </c>
      <c r="G405">
        <v>92070</v>
      </c>
      <c r="H405">
        <v>2984</v>
      </c>
      <c r="I405">
        <v>369</v>
      </c>
      <c r="J405">
        <v>12376.85</v>
      </c>
    </row>
    <row r="406" spans="1:10">
      <c r="A406" t="s">
        <v>423</v>
      </c>
      <c r="B406" s="15">
        <v>45818</v>
      </c>
      <c r="C406" t="s">
        <v>14</v>
      </c>
      <c r="D406" t="s">
        <v>17</v>
      </c>
      <c r="E406">
        <v>4145.37</v>
      </c>
      <c r="F406">
        <v>4304.73</v>
      </c>
      <c r="G406">
        <v>138224</v>
      </c>
      <c r="H406">
        <v>4150</v>
      </c>
      <c r="I406">
        <v>232</v>
      </c>
      <c r="J406">
        <v>9468.03</v>
      </c>
    </row>
    <row r="407" spans="1:10">
      <c r="A407" t="s">
        <v>424</v>
      </c>
      <c r="B407" s="15">
        <v>45696</v>
      </c>
      <c r="C407" t="s">
        <v>19</v>
      </c>
      <c r="D407" t="s">
        <v>12</v>
      </c>
      <c r="E407">
        <v>4545.39</v>
      </c>
      <c r="F407">
        <v>3748.65</v>
      </c>
      <c r="G407">
        <v>63940</v>
      </c>
      <c r="H407">
        <v>2107</v>
      </c>
      <c r="I407">
        <v>352</v>
      </c>
      <c r="J407">
        <v>14226.07</v>
      </c>
    </row>
    <row r="408" spans="1:10">
      <c r="A408" t="s">
        <v>425</v>
      </c>
      <c r="B408" s="15">
        <v>45803</v>
      </c>
      <c r="C408" t="s">
        <v>19</v>
      </c>
      <c r="D408" t="s">
        <v>20</v>
      </c>
      <c r="E408">
        <v>7581.58</v>
      </c>
      <c r="F408">
        <v>6686.79</v>
      </c>
      <c r="G408">
        <v>192599</v>
      </c>
      <c r="H408">
        <v>7700</v>
      </c>
      <c r="I408">
        <v>1117</v>
      </c>
      <c r="J408">
        <v>54203.44</v>
      </c>
    </row>
    <row r="409" spans="1:10">
      <c r="A409" t="s">
        <v>426</v>
      </c>
      <c r="B409" s="15">
        <v>45800</v>
      </c>
      <c r="C409" t="s">
        <v>14</v>
      </c>
      <c r="D409" t="s">
        <v>15</v>
      </c>
      <c r="E409">
        <v>4057.41</v>
      </c>
      <c r="F409">
        <v>3772.18</v>
      </c>
      <c r="G409">
        <v>65526</v>
      </c>
      <c r="H409">
        <v>2744</v>
      </c>
      <c r="I409">
        <v>447</v>
      </c>
      <c r="J409">
        <v>21593.89</v>
      </c>
    </row>
    <row r="410" spans="1:10">
      <c r="A410" t="s">
        <v>427</v>
      </c>
      <c r="B410" s="15">
        <v>45754</v>
      </c>
      <c r="C410" t="s">
        <v>11</v>
      </c>
      <c r="D410" t="s">
        <v>12</v>
      </c>
      <c r="E410">
        <v>5938.09</v>
      </c>
      <c r="F410">
        <v>5887.96</v>
      </c>
      <c r="G410">
        <v>149688</v>
      </c>
      <c r="H410">
        <v>5146</v>
      </c>
      <c r="I410">
        <v>512</v>
      </c>
      <c r="J410">
        <v>16347.05</v>
      </c>
    </row>
    <row r="411" spans="1:10">
      <c r="A411" t="s">
        <v>428</v>
      </c>
      <c r="B411" s="15">
        <v>45675</v>
      </c>
      <c r="C411" t="s">
        <v>11</v>
      </c>
      <c r="D411" t="s">
        <v>17</v>
      </c>
      <c r="E411">
        <v>4919.51</v>
      </c>
      <c r="F411">
        <v>5387.81</v>
      </c>
      <c r="G411">
        <v>118998</v>
      </c>
      <c r="H411">
        <v>1453</v>
      </c>
      <c r="I411">
        <v>106</v>
      </c>
      <c r="J411">
        <v>3421.68</v>
      </c>
    </row>
    <row r="412" spans="1:10">
      <c r="A412" t="s">
        <v>429</v>
      </c>
      <c r="B412" s="15">
        <v>45687</v>
      </c>
      <c r="C412" t="s">
        <v>14</v>
      </c>
      <c r="D412" t="s">
        <v>12</v>
      </c>
      <c r="E412">
        <v>9258.69</v>
      </c>
      <c r="F412">
        <v>8045.68</v>
      </c>
      <c r="G412">
        <v>115280</v>
      </c>
      <c r="H412">
        <v>3264</v>
      </c>
      <c r="I412">
        <v>281</v>
      </c>
      <c r="J412">
        <v>7416.47</v>
      </c>
    </row>
    <row r="413" spans="1:10">
      <c r="A413" t="s">
        <v>430</v>
      </c>
      <c r="B413" s="15">
        <v>45727</v>
      </c>
      <c r="C413" t="s">
        <v>24</v>
      </c>
      <c r="D413" t="s">
        <v>12</v>
      </c>
      <c r="E413">
        <v>3217.94</v>
      </c>
      <c r="F413">
        <v>3203.46</v>
      </c>
      <c r="G413">
        <v>129278</v>
      </c>
      <c r="H413">
        <v>5246</v>
      </c>
      <c r="I413">
        <v>346</v>
      </c>
      <c r="J413">
        <v>10745.3</v>
      </c>
    </row>
    <row r="414" spans="1:10">
      <c r="A414" t="s">
        <v>431</v>
      </c>
      <c r="B414" s="15">
        <v>45796</v>
      </c>
      <c r="C414" t="s">
        <v>19</v>
      </c>
      <c r="D414" t="s">
        <v>15</v>
      </c>
      <c r="E414">
        <v>9050.51</v>
      </c>
      <c r="F414">
        <v>8525.25</v>
      </c>
      <c r="G414">
        <v>113951</v>
      </c>
      <c r="H414">
        <v>4911</v>
      </c>
      <c r="I414">
        <v>623</v>
      </c>
      <c r="J414">
        <v>30555.54</v>
      </c>
    </row>
    <row r="415" spans="1:10">
      <c r="A415" t="s">
        <v>432</v>
      </c>
      <c r="B415" s="15">
        <v>45709</v>
      </c>
      <c r="C415" t="s">
        <v>22</v>
      </c>
      <c r="D415" t="s">
        <v>12</v>
      </c>
      <c r="E415">
        <v>4298.68</v>
      </c>
      <c r="F415">
        <v>4559.12</v>
      </c>
      <c r="G415">
        <v>160215</v>
      </c>
      <c r="H415">
        <v>4360</v>
      </c>
      <c r="I415">
        <v>734</v>
      </c>
      <c r="J415">
        <v>31780.66</v>
      </c>
    </row>
    <row r="416" spans="1:10">
      <c r="A416" t="s">
        <v>433</v>
      </c>
      <c r="B416" s="15">
        <v>45793</v>
      </c>
      <c r="C416" t="s">
        <v>24</v>
      </c>
      <c r="D416" t="s">
        <v>15</v>
      </c>
      <c r="E416">
        <v>8396.45</v>
      </c>
      <c r="F416">
        <v>8845.11</v>
      </c>
      <c r="G416">
        <v>176532</v>
      </c>
      <c r="H416">
        <v>2317</v>
      </c>
      <c r="I416">
        <v>156</v>
      </c>
      <c r="J416">
        <v>6681.59</v>
      </c>
    </row>
    <row r="417" spans="1:10">
      <c r="A417" t="s">
        <v>434</v>
      </c>
      <c r="B417" s="15">
        <v>45763</v>
      </c>
      <c r="C417" t="s">
        <v>22</v>
      </c>
      <c r="D417" t="s">
        <v>17</v>
      </c>
      <c r="E417">
        <v>7383.54</v>
      </c>
      <c r="F417">
        <v>6197.55</v>
      </c>
      <c r="G417">
        <v>93893</v>
      </c>
      <c r="H417">
        <v>3140</v>
      </c>
      <c r="I417">
        <v>208</v>
      </c>
      <c r="J417">
        <v>4362.96</v>
      </c>
    </row>
    <row r="418" spans="1:10">
      <c r="A418" t="s">
        <v>435</v>
      </c>
      <c r="B418" s="15">
        <v>45748</v>
      </c>
      <c r="C418" t="s">
        <v>22</v>
      </c>
      <c r="D418" t="s">
        <v>20</v>
      </c>
      <c r="E418">
        <v>9445.93</v>
      </c>
      <c r="F418">
        <v>9304.19</v>
      </c>
      <c r="G418">
        <v>70743</v>
      </c>
      <c r="H418">
        <v>1210</v>
      </c>
      <c r="I418">
        <v>52</v>
      </c>
      <c r="J418">
        <v>2282.6</v>
      </c>
    </row>
    <row r="419" spans="1:10">
      <c r="A419" t="s">
        <v>436</v>
      </c>
      <c r="B419" s="15">
        <v>45690</v>
      </c>
      <c r="C419" t="s">
        <v>24</v>
      </c>
      <c r="D419" t="s">
        <v>15</v>
      </c>
      <c r="E419">
        <v>6370.66</v>
      </c>
      <c r="F419">
        <v>5320.73</v>
      </c>
      <c r="G419">
        <v>84061</v>
      </c>
      <c r="H419">
        <v>1539</v>
      </c>
      <c r="I419">
        <v>177</v>
      </c>
      <c r="J419">
        <v>4204.74</v>
      </c>
    </row>
    <row r="420" spans="1:10">
      <c r="A420" t="s">
        <v>437</v>
      </c>
      <c r="B420" s="15">
        <v>45744</v>
      </c>
      <c r="C420" t="s">
        <v>14</v>
      </c>
      <c r="D420" t="s">
        <v>17</v>
      </c>
      <c r="E420">
        <v>7798.96</v>
      </c>
      <c r="F420">
        <v>7245.95</v>
      </c>
      <c r="G420">
        <v>108436</v>
      </c>
      <c r="H420">
        <v>3545</v>
      </c>
      <c r="I420">
        <v>81</v>
      </c>
      <c r="J420">
        <v>2107.28</v>
      </c>
    </row>
    <row r="421" spans="1:10">
      <c r="A421" t="s">
        <v>438</v>
      </c>
      <c r="B421" s="15">
        <v>45688</v>
      </c>
      <c r="C421" t="s">
        <v>22</v>
      </c>
      <c r="D421" t="s">
        <v>17</v>
      </c>
      <c r="E421">
        <v>6441.16</v>
      </c>
      <c r="F421">
        <v>5277</v>
      </c>
      <c r="G421">
        <v>143676</v>
      </c>
      <c r="H421">
        <v>6117</v>
      </c>
      <c r="I421">
        <v>461</v>
      </c>
      <c r="J421">
        <v>17268.66</v>
      </c>
    </row>
    <row r="422" spans="1:10">
      <c r="A422" t="s">
        <v>439</v>
      </c>
      <c r="B422" s="15">
        <v>45763</v>
      </c>
      <c r="C422" t="s">
        <v>19</v>
      </c>
      <c r="D422" t="s">
        <v>20</v>
      </c>
      <c r="E422">
        <v>4882.95</v>
      </c>
      <c r="F422">
        <v>5074.69</v>
      </c>
      <c r="G422">
        <v>76424</v>
      </c>
      <c r="H422">
        <v>1044</v>
      </c>
      <c r="I422">
        <v>91</v>
      </c>
      <c r="J422">
        <v>2667.29</v>
      </c>
    </row>
    <row r="423" spans="1:10">
      <c r="A423" t="s">
        <v>440</v>
      </c>
      <c r="B423" s="15">
        <v>45675</v>
      </c>
      <c r="C423" t="s">
        <v>19</v>
      </c>
      <c r="D423" t="s">
        <v>12</v>
      </c>
      <c r="E423">
        <v>6186.54</v>
      </c>
      <c r="F423">
        <v>4970.8</v>
      </c>
      <c r="G423">
        <v>131046</v>
      </c>
      <c r="H423">
        <v>6398</v>
      </c>
      <c r="I423">
        <v>1049</v>
      </c>
      <c r="J423">
        <v>23259.9</v>
      </c>
    </row>
    <row r="424" spans="1:10">
      <c r="A424" t="s">
        <v>441</v>
      </c>
      <c r="B424" s="15">
        <v>45795</v>
      </c>
      <c r="C424" t="s">
        <v>24</v>
      </c>
      <c r="D424" t="s">
        <v>12</v>
      </c>
      <c r="E424">
        <v>5747.45</v>
      </c>
      <c r="F424">
        <v>5425.49</v>
      </c>
      <c r="G424">
        <v>69001</v>
      </c>
      <c r="H424">
        <v>2029</v>
      </c>
      <c r="I424">
        <v>320</v>
      </c>
      <c r="J424">
        <v>12160.2</v>
      </c>
    </row>
    <row r="425" spans="1:10">
      <c r="A425" t="s">
        <v>442</v>
      </c>
      <c r="B425" s="15">
        <v>45682</v>
      </c>
      <c r="C425" t="s">
        <v>11</v>
      </c>
      <c r="D425" t="s">
        <v>20</v>
      </c>
      <c r="E425">
        <v>5041.64</v>
      </c>
      <c r="F425">
        <v>5084.47</v>
      </c>
      <c r="G425">
        <v>179928</v>
      </c>
      <c r="H425">
        <v>5522</v>
      </c>
      <c r="I425">
        <v>900</v>
      </c>
      <c r="J425">
        <v>41223.3</v>
      </c>
    </row>
    <row r="426" spans="1:10">
      <c r="A426" t="s">
        <v>443</v>
      </c>
      <c r="B426" s="15">
        <v>45714</v>
      </c>
      <c r="C426" t="s">
        <v>24</v>
      </c>
      <c r="D426" t="s">
        <v>15</v>
      </c>
      <c r="E426">
        <v>8458.96</v>
      </c>
      <c r="F426">
        <v>6867.71</v>
      </c>
      <c r="G426">
        <v>151737</v>
      </c>
      <c r="H426">
        <v>6324</v>
      </c>
      <c r="I426">
        <v>1140</v>
      </c>
      <c r="J426">
        <v>39233.34</v>
      </c>
    </row>
    <row r="427" spans="1:10">
      <c r="A427" t="s">
        <v>444</v>
      </c>
      <c r="B427" s="15">
        <v>45672</v>
      </c>
      <c r="C427" t="s">
        <v>19</v>
      </c>
      <c r="D427" t="s">
        <v>12</v>
      </c>
      <c r="E427">
        <v>3734.51</v>
      </c>
      <c r="F427">
        <v>3258.78</v>
      </c>
      <c r="G427">
        <v>188031</v>
      </c>
      <c r="H427">
        <v>2257</v>
      </c>
      <c r="I427">
        <v>398</v>
      </c>
      <c r="J427">
        <v>19740.75</v>
      </c>
    </row>
    <row r="428" spans="1:10">
      <c r="A428" t="s">
        <v>445</v>
      </c>
      <c r="B428" s="15">
        <v>45759</v>
      </c>
      <c r="C428" t="s">
        <v>11</v>
      </c>
      <c r="D428" t="s">
        <v>15</v>
      </c>
      <c r="E428">
        <v>3997.47</v>
      </c>
      <c r="F428">
        <v>3796.26</v>
      </c>
      <c r="G428">
        <v>55760</v>
      </c>
      <c r="H428">
        <v>2026</v>
      </c>
      <c r="I428">
        <v>179</v>
      </c>
      <c r="J428">
        <v>6899.5</v>
      </c>
    </row>
    <row r="429" spans="1:10">
      <c r="A429" t="s">
        <v>446</v>
      </c>
      <c r="B429" s="15">
        <v>45799</v>
      </c>
      <c r="C429" t="s">
        <v>24</v>
      </c>
      <c r="D429" t="s">
        <v>12</v>
      </c>
      <c r="E429">
        <v>7917.25</v>
      </c>
      <c r="F429">
        <v>7663.06</v>
      </c>
      <c r="G429">
        <v>94851</v>
      </c>
      <c r="H429">
        <v>2639</v>
      </c>
      <c r="I429">
        <v>396</v>
      </c>
      <c r="J429">
        <v>8036.08</v>
      </c>
    </row>
    <row r="430" spans="1:10">
      <c r="A430" t="s">
        <v>447</v>
      </c>
      <c r="B430" s="15">
        <v>45804</v>
      </c>
      <c r="C430" t="s">
        <v>14</v>
      </c>
      <c r="D430" t="s">
        <v>15</v>
      </c>
      <c r="E430">
        <v>5285.23</v>
      </c>
      <c r="F430">
        <v>5049.05</v>
      </c>
      <c r="G430">
        <v>134423</v>
      </c>
      <c r="H430">
        <v>2548</v>
      </c>
      <c r="I430">
        <v>363</v>
      </c>
      <c r="J430">
        <v>8216.87</v>
      </c>
    </row>
    <row r="431" spans="1:10">
      <c r="A431" t="s">
        <v>448</v>
      </c>
      <c r="B431" s="15">
        <v>45713</v>
      </c>
      <c r="C431" t="s">
        <v>22</v>
      </c>
      <c r="D431" t="s">
        <v>17</v>
      </c>
      <c r="E431">
        <v>5454.39</v>
      </c>
      <c r="F431">
        <v>4417.84</v>
      </c>
      <c r="G431">
        <v>111462</v>
      </c>
      <c r="H431">
        <v>5187</v>
      </c>
      <c r="I431">
        <v>280</v>
      </c>
      <c r="J431">
        <v>6260.06</v>
      </c>
    </row>
    <row r="432" spans="1:10">
      <c r="A432" t="s">
        <v>449</v>
      </c>
      <c r="B432" s="15">
        <v>45697</v>
      </c>
      <c r="C432" t="s">
        <v>19</v>
      </c>
      <c r="D432" t="s">
        <v>15</v>
      </c>
      <c r="E432">
        <v>5778.46</v>
      </c>
      <c r="F432">
        <v>4852.84</v>
      </c>
      <c r="G432">
        <v>102748</v>
      </c>
      <c r="H432">
        <v>1293</v>
      </c>
      <c r="I432">
        <v>60</v>
      </c>
      <c r="J432">
        <v>2221.57</v>
      </c>
    </row>
    <row r="433" spans="1:10">
      <c r="A433" t="s">
        <v>450</v>
      </c>
      <c r="B433" s="15">
        <v>45768</v>
      </c>
      <c r="C433" t="s">
        <v>11</v>
      </c>
      <c r="D433" t="s">
        <v>17</v>
      </c>
      <c r="E433">
        <v>7826.25</v>
      </c>
      <c r="F433">
        <v>8140.68</v>
      </c>
      <c r="G433">
        <v>180765</v>
      </c>
      <c r="H433">
        <v>5270</v>
      </c>
      <c r="I433">
        <v>513</v>
      </c>
      <c r="J433">
        <v>13340.31</v>
      </c>
    </row>
    <row r="434" spans="1:10">
      <c r="A434" t="s">
        <v>451</v>
      </c>
      <c r="B434" s="15">
        <v>45748</v>
      </c>
      <c r="C434" t="s">
        <v>11</v>
      </c>
      <c r="D434" t="s">
        <v>15</v>
      </c>
      <c r="E434">
        <v>4172.38</v>
      </c>
      <c r="F434">
        <v>3468.79</v>
      </c>
      <c r="G434">
        <v>143614</v>
      </c>
      <c r="H434">
        <v>4002</v>
      </c>
      <c r="I434">
        <v>362</v>
      </c>
      <c r="J434">
        <v>14151.63</v>
      </c>
    </row>
    <row r="435" spans="1:10">
      <c r="A435" t="s">
        <v>452</v>
      </c>
      <c r="B435" s="15">
        <v>45804</v>
      </c>
      <c r="C435" t="s">
        <v>14</v>
      </c>
      <c r="D435" t="s">
        <v>17</v>
      </c>
      <c r="E435">
        <v>7945.33</v>
      </c>
      <c r="F435">
        <v>6431.55</v>
      </c>
      <c r="G435">
        <v>174898</v>
      </c>
      <c r="H435">
        <v>7877</v>
      </c>
      <c r="I435">
        <v>806</v>
      </c>
      <c r="J435">
        <v>38757.61</v>
      </c>
    </row>
    <row r="436" spans="1:10">
      <c r="A436" t="s">
        <v>453</v>
      </c>
      <c r="B436" s="15">
        <v>45774</v>
      </c>
      <c r="C436" t="s">
        <v>22</v>
      </c>
      <c r="D436" t="s">
        <v>20</v>
      </c>
      <c r="E436">
        <v>3363.8</v>
      </c>
      <c r="F436">
        <v>3237.28</v>
      </c>
      <c r="G436">
        <v>179667</v>
      </c>
      <c r="H436">
        <v>3625</v>
      </c>
      <c r="I436">
        <v>357</v>
      </c>
      <c r="J436">
        <v>14734.04</v>
      </c>
    </row>
    <row r="437" spans="1:10">
      <c r="A437" t="s">
        <v>454</v>
      </c>
      <c r="B437" s="15">
        <v>45653</v>
      </c>
      <c r="C437" t="s">
        <v>24</v>
      </c>
      <c r="D437" t="s">
        <v>12</v>
      </c>
      <c r="E437">
        <v>9096.78</v>
      </c>
      <c r="F437">
        <v>9226.19</v>
      </c>
      <c r="G437">
        <v>142353</v>
      </c>
      <c r="H437">
        <v>4745</v>
      </c>
      <c r="I437">
        <v>555</v>
      </c>
      <c r="J437">
        <v>24448.77</v>
      </c>
    </row>
    <row r="438" spans="1:10">
      <c r="A438" t="s">
        <v>455</v>
      </c>
      <c r="B438" s="15">
        <v>45811</v>
      </c>
      <c r="C438" t="s">
        <v>19</v>
      </c>
      <c r="D438" t="s">
        <v>15</v>
      </c>
      <c r="E438">
        <v>5376.15</v>
      </c>
      <c r="F438">
        <v>5615.11</v>
      </c>
      <c r="G438">
        <v>161295</v>
      </c>
      <c r="H438">
        <v>7131</v>
      </c>
      <c r="I438">
        <v>124</v>
      </c>
      <c r="J438">
        <v>2778.03</v>
      </c>
    </row>
    <row r="439" spans="1:10">
      <c r="A439" t="s">
        <v>456</v>
      </c>
      <c r="B439" s="15">
        <v>45803</v>
      </c>
      <c r="C439" t="s">
        <v>11</v>
      </c>
      <c r="D439" t="s">
        <v>17</v>
      </c>
      <c r="E439">
        <v>9263.72</v>
      </c>
      <c r="F439">
        <v>8932.8</v>
      </c>
      <c r="G439">
        <v>72755</v>
      </c>
      <c r="H439">
        <v>2170</v>
      </c>
      <c r="I439">
        <v>58</v>
      </c>
      <c r="J439">
        <v>2582.1</v>
      </c>
    </row>
    <row r="440" spans="1:10">
      <c r="A440" t="s">
        <v>457</v>
      </c>
      <c r="B440" s="15">
        <v>45765</v>
      </c>
      <c r="C440" t="s">
        <v>22</v>
      </c>
      <c r="D440" t="s">
        <v>20</v>
      </c>
      <c r="E440">
        <v>6166.23</v>
      </c>
      <c r="F440">
        <v>6123.52</v>
      </c>
      <c r="G440">
        <v>136413</v>
      </c>
      <c r="H440">
        <v>3434</v>
      </c>
      <c r="I440">
        <v>635</v>
      </c>
      <c r="J440">
        <v>22727.97</v>
      </c>
    </row>
    <row r="441" spans="1:10">
      <c r="A441" t="s">
        <v>458</v>
      </c>
      <c r="B441" s="15">
        <v>45707</v>
      </c>
      <c r="C441" t="s">
        <v>24</v>
      </c>
      <c r="D441" t="s">
        <v>17</v>
      </c>
      <c r="E441">
        <v>8121.13</v>
      </c>
      <c r="F441">
        <v>6695.78</v>
      </c>
      <c r="G441">
        <v>190122</v>
      </c>
      <c r="H441">
        <v>2084</v>
      </c>
      <c r="I441">
        <v>362</v>
      </c>
      <c r="J441">
        <v>7895.42</v>
      </c>
    </row>
    <row r="442" spans="1:10">
      <c r="A442" t="s">
        <v>459</v>
      </c>
      <c r="B442" s="15">
        <v>45667</v>
      </c>
      <c r="C442" t="s">
        <v>22</v>
      </c>
      <c r="D442" t="s">
        <v>12</v>
      </c>
      <c r="E442">
        <v>4729.72</v>
      </c>
      <c r="F442">
        <v>4010.16</v>
      </c>
      <c r="G442">
        <v>84930</v>
      </c>
      <c r="H442">
        <v>1915</v>
      </c>
      <c r="I442">
        <v>303</v>
      </c>
      <c r="J442">
        <v>13984.51</v>
      </c>
    </row>
    <row r="443" spans="1:10">
      <c r="A443" t="s">
        <v>460</v>
      </c>
      <c r="B443" s="15">
        <v>45671</v>
      </c>
      <c r="C443" t="s">
        <v>11</v>
      </c>
      <c r="D443" t="s">
        <v>12</v>
      </c>
      <c r="E443">
        <v>4534.5</v>
      </c>
      <c r="F443">
        <v>4955.12</v>
      </c>
      <c r="G443">
        <v>120822</v>
      </c>
      <c r="H443">
        <v>1992</v>
      </c>
      <c r="I443">
        <v>277</v>
      </c>
      <c r="J443">
        <v>8339.6</v>
      </c>
    </row>
    <row r="444" spans="1:10">
      <c r="A444" t="s">
        <v>461</v>
      </c>
      <c r="B444" s="15">
        <v>45724</v>
      </c>
      <c r="C444" t="s">
        <v>19</v>
      </c>
      <c r="D444" t="s">
        <v>12</v>
      </c>
      <c r="E444">
        <v>4274.83</v>
      </c>
      <c r="F444">
        <v>4432.61</v>
      </c>
      <c r="G444">
        <v>108943</v>
      </c>
      <c r="H444">
        <v>3924</v>
      </c>
      <c r="I444">
        <v>687</v>
      </c>
      <c r="J444">
        <v>27315.97</v>
      </c>
    </row>
    <row r="445" spans="1:10">
      <c r="A445" t="s">
        <v>462</v>
      </c>
      <c r="B445" s="15">
        <v>45735</v>
      </c>
      <c r="C445" t="s">
        <v>24</v>
      </c>
      <c r="D445" t="s">
        <v>15</v>
      </c>
      <c r="E445">
        <v>6487.37</v>
      </c>
      <c r="F445">
        <v>6270.75</v>
      </c>
      <c r="G445">
        <v>145244</v>
      </c>
      <c r="H445">
        <v>7015</v>
      </c>
      <c r="I445">
        <v>623</v>
      </c>
      <c r="J445">
        <v>25901.88</v>
      </c>
    </row>
    <row r="446" spans="1:10">
      <c r="A446" t="s">
        <v>463</v>
      </c>
      <c r="B446" s="15">
        <v>45679</v>
      </c>
      <c r="C446" t="s">
        <v>22</v>
      </c>
      <c r="D446" t="s">
        <v>12</v>
      </c>
      <c r="E446">
        <v>4599.18</v>
      </c>
      <c r="F446">
        <v>5054.04</v>
      </c>
      <c r="G446">
        <v>174584</v>
      </c>
      <c r="H446">
        <v>5659</v>
      </c>
      <c r="I446">
        <v>91</v>
      </c>
      <c r="J446">
        <v>4481.19</v>
      </c>
    </row>
    <row r="447" spans="1:10">
      <c r="A447" t="s">
        <v>464</v>
      </c>
      <c r="B447" s="15">
        <v>45742</v>
      </c>
      <c r="C447" t="s">
        <v>22</v>
      </c>
      <c r="D447" t="s">
        <v>17</v>
      </c>
      <c r="E447">
        <v>7552.28</v>
      </c>
      <c r="F447">
        <v>6493.92</v>
      </c>
      <c r="G447">
        <v>187179</v>
      </c>
      <c r="H447">
        <v>9269</v>
      </c>
      <c r="I447">
        <v>1087</v>
      </c>
      <c r="J447">
        <v>43922.24</v>
      </c>
    </row>
    <row r="448" spans="1:10">
      <c r="A448" t="s">
        <v>465</v>
      </c>
      <c r="B448" s="15">
        <v>45710</v>
      </c>
      <c r="C448" t="s">
        <v>24</v>
      </c>
      <c r="D448" t="s">
        <v>20</v>
      </c>
      <c r="E448">
        <v>3505.39</v>
      </c>
      <c r="F448">
        <v>2836.55</v>
      </c>
      <c r="G448">
        <v>113319</v>
      </c>
      <c r="H448">
        <v>2346</v>
      </c>
      <c r="I448">
        <v>225</v>
      </c>
      <c r="J448">
        <v>6239.36</v>
      </c>
    </row>
    <row r="449" spans="1:10">
      <c r="A449" t="s">
        <v>466</v>
      </c>
      <c r="B449" s="15">
        <v>45719</v>
      </c>
      <c r="C449" t="s">
        <v>11</v>
      </c>
      <c r="D449" t="s">
        <v>17</v>
      </c>
      <c r="E449">
        <v>6238.36</v>
      </c>
      <c r="F449">
        <v>6615.67</v>
      </c>
      <c r="G449">
        <v>97411</v>
      </c>
      <c r="H449">
        <v>2282</v>
      </c>
      <c r="I449">
        <v>391</v>
      </c>
      <c r="J449">
        <v>16349.69</v>
      </c>
    </row>
    <row r="450" spans="1:10">
      <c r="A450" t="s">
        <v>467</v>
      </c>
      <c r="B450" s="15">
        <v>45798</v>
      </c>
      <c r="C450" t="s">
        <v>14</v>
      </c>
      <c r="D450" t="s">
        <v>17</v>
      </c>
      <c r="E450">
        <v>8198.95</v>
      </c>
      <c r="F450">
        <v>7605.74</v>
      </c>
      <c r="G450">
        <v>172776</v>
      </c>
      <c r="H450">
        <v>7965</v>
      </c>
      <c r="I450">
        <v>101</v>
      </c>
      <c r="J450">
        <v>3068.18</v>
      </c>
    </row>
    <row r="451" spans="1:10">
      <c r="A451" t="s">
        <v>468</v>
      </c>
      <c r="B451" s="15">
        <v>45758</v>
      </c>
      <c r="C451" t="s">
        <v>11</v>
      </c>
      <c r="D451" t="s">
        <v>15</v>
      </c>
      <c r="E451">
        <v>5597.27</v>
      </c>
      <c r="F451">
        <v>6136.26</v>
      </c>
      <c r="G451">
        <v>117252</v>
      </c>
      <c r="H451">
        <v>4476</v>
      </c>
      <c r="I451">
        <v>461</v>
      </c>
      <c r="J451">
        <v>9774.71</v>
      </c>
    </row>
    <row r="452" spans="1:10">
      <c r="A452" t="s">
        <v>469</v>
      </c>
      <c r="B452" s="15">
        <v>45687</v>
      </c>
      <c r="C452" t="s">
        <v>19</v>
      </c>
      <c r="D452" t="s">
        <v>15</v>
      </c>
      <c r="E452">
        <v>9069.22</v>
      </c>
      <c r="F452">
        <v>8829.82</v>
      </c>
      <c r="G452">
        <v>149827</v>
      </c>
      <c r="H452">
        <v>5041</v>
      </c>
      <c r="I452">
        <v>104</v>
      </c>
      <c r="J452">
        <v>3448.48</v>
      </c>
    </row>
    <row r="453" spans="1:10">
      <c r="A453" t="s">
        <v>470</v>
      </c>
      <c r="B453" s="15">
        <v>45659</v>
      </c>
      <c r="C453" t="s">
        <v>24</v>
      </c>
      <c r="D453" t="s">
        <v>17</v>
      </c>
      <c r="E453">
        <v>8076.8</v>
      </c>
      <c r="F453">
        <v>7640.66</v>
      </c>
      <c r="G453">
        <v>148415</v>
      </c>
      <c r="H453">
        <v>5679</v>
      </c>
      <c r="I453">
        <v>1058</v>
      </c>
      <c r="J453">
        <v>48882.45</v>
      </c>
    </row>
    <row r="454" spans="1:10">
      <c r="A454" t="s">
        <v>471</v>
      </c>
      <c r="B454" s="15">
        <v>45681</v>
      </c>
      <c r="C454" t="s">
        <v>19</v>
      </c>
      <c r="D454" t="s">
        <v>17</v>
      </c>
      <c r="E454">
        <v>9304.91</v>
      </c>
      <c r="F454">
        <v>8621.15</v>
      </c>
      <c r="G454">
        <v>96330</v>
      </c>
      <c r="H454">
        <v>1282</v>
      </c>
      <c r="I454">
        <v>150</v>
      </c>
      <c r="J454">
        <v>4245.73</v>
      </c>
    </row>
    <row r="455" spans="1:10">
      <c r="A455" t="s">
        <v>472</v>
      </c>
      <c r="B455" s="15">
        <v>45750</v>
      </c>
      <c r="C455" t="s">
        <v>11</v>
      </c>
      <c r="D455" t="s">
        <v>15</v>
      </c>
      <c r="E455">
        <v>7146.45</v>
      </c>
      <c r="F455">
        <v>7673.21</v>
      </c>
      <c r="G455">
        <v>96745</v>
      </c>
      <c r="H455">
        <v>2886</v>
      </c>
      <c r="I455">
        <v>402</v>
      </c>
      <c r="J455">
        <v>10580.59</v>
      </c>
    </row>
    <row r="456" spans="1:10">
      <c r="A456" t="s">
        <v>473</v>
      </c>
      <c r="B456" s="15">
        <v>45682</v>
      </c>
      <c r="C456" t="s">
        <v>24</v>
      </c>
      <c r="D456" t="s">
        <v>20</v>
      </c>
      <c r="E456">
        <v>7360.77</v>
      </c>
      <c r="F456">
        <v>7283.25</v>
      </c>
      <c r="G456">
        <v>66585</v>
      </c>
      <c r="H456">
        <v>3235</v>
      </c>
      <c r="I456">
        <v>641</v>
      </c>
      <c r="J456">
        <v>26917.76</v>
      </c>
    </row>
    <row r="457" spans="1:10">
      <c r="A457" t="s">
        <v>474</v>
      </c>
      <c r="B457" s="15">
        <v>45786</v>
      </c>
      <c r="C457" t="s">
        <v>11</v>
      </c>
      <c r="D457" t="s">
        <v>17</v>
      </c>
      <c r="E457">
        <v>3920.97</v>
      </c>
      <c r="F457">
        <v>3978.79</v>
      </c>
      <c r="G457">
        <v>192117</v>
      </c>
      <c r="H457">
        <v>4361</v>
      </c>
      <c r="I457">
        <v>98</v>
      </c>
      <c r="J457">
        <v>4632.56</v>
      </c>
    </row>
    <row r="458" spans="1:10">
      <c r="A458" t="s">
        <v>475</v>
      </c>
      <c r="B458" s="15">
        <v>45686</v>
      </c>
      <c r="C458" t="s">
        <v>22</v>
      </c>
      <c r="D458" t="s">
        <v>20</v>
      </c>
      <c r="E458">
        <v>4257.78</v>
      </c>
      <c r="F458">
        <v>3709.65</v>
      </c>
      <c r="G458">
        <v>194804</v>
      </c>
      <c r="H458">
        <v>8803</v>
      </c>
      <c r="I458">
        <v>1231</v>
      </c>
      <c r="J458">
        <v>60493.62</v>
      </c>
    </row>
    <row r="459" spans="1:10">
      <c r="A459" t="s">
        <v>476</v>
      </c>
      <c r="B459" s="15">
        <v>45670</v>
      </c>
      <c r="C459" t="s">
        <v>24</v>
      </c>
      <c r="D459" t="s">
        <v>15</v>
      </c>
      <c r="E459">
        <v>4266.84</v>
      </c>
      <c r="F459">
        <v>4507.13</v>
      </c>
      <c r="G459">
        <v>91032</v>
      </c>
      <c r="H459">
        <v>3308</v>
      </c>
      <c r="I459">
        <v>330</v>
      </c>
      <c r="J459">
        <v>11473.55</v>
      </c>
    </row>
    <row r="460" spans="1:10">
      <c r="A460" t="s">
        <v>477</v>
      </c>
      <c r="B460" s="15">
        <v>45739</v>
      </c>
      <c r="C460" t="s">
        <v>11</v>
      </c>
      <c r="D460" t="s">
        <v>20</v>
      </c>
      <c r="E460">
        <v>4730.62</v>
      </c>
      <c r="F460">
        <v>5020.25</v>
      </c>
      <c r="G460">
        <v>116506</v>
      </c>
      <c r="H460">
        <v>4331</v>
      </c>
      <c r="I460">
        <v>122</v>
      </c>
      <c r="J460">
        <v>4069.82</v>
      </c>
    </row>
    <row r="461" spans="1:10">
      <c r="A461" t="s">
        <v>478</v>
      </c>
      <c r="B461" s="15">
        <v>45639</v>
      </c>
      <c r="C461" t="s">
        <v>24</v>
      </c>
      <c r="D461" t="s">
        <v>15</v>
      </c>
      <c r="E461">
        <v>6603.72</v>
      </c>
      <c r="F461">
        <v>5994.66</v>
      </c>
      <c r="G461">
        <v>55887</v>
      </c>
      <c r="H461">
        <v>1060</v>
      </c>
      <c r="I461">
        <v>202</v>
      </c>
      <c r="J461">
        <v>7633.28</v>
      </c>
    </row>
    <row r="462" spans="1:10">
      <c r="A462" t="s">
        <v>479</v>
      </c>
      <c r="B462" s="15">
        <v>45655</v>
      </c>
      <c r="C462" t="s">
        <v>11</v>
      </c>
      <c r="D462" t="s">
        <v>15</v>
      </c>
      <c r="E462">
        <v>4144.67</v>
      </c>
      <c r="F462">
        <v>3802.01</v>
      </c>
      <c r="G462">
        <v>111392</v>
      </c>
      <c r="H462">
        <v>4309</v>
      </c>
      <c r="I462">
        <v>82</v>
      </c>
      <c r="J462">
        <v>4024.75</v>
      </c>
    </row>
    <row r="463" spans="1:10">
      <c r="A463" t="s">
        <v>480</v>
      </c>
      <c r="B463" s="15">
        <v>45776</v>
      </c>
      <c r="C463" t="s">
        <v>24</v>
      </c>
      <c r="D463" t="s">
        <v>15</v>
      </c>
      <c r="E463">
        <v>4806.93</v>
      </c>
      <c r="F463">
        <v>4792.61</v>
      </c>
      <c r="G463">
        <v>127536</v>
      </c>
      <c r="H463">
        <v>1590</v>
      </c>
      <c r="I463">
        <v>273</v>
      </c>
      <c r="J463">
        <v>8123.31</v>
      </c>
    </row>
    <row r="464" spans="1:10">
      <c r="A464" t="s">
        <v>481</v>
      </c>
      <c r="B464" s="15">
        <v>45733</v>
      </c>
      <c r="C464" t="s">
        <v>22</v>
      </c>
      <c r="D464" t="s">
        <v>15</v>
      </c>
      <c r="E464">
        <v>8414.31</v>
      </c>
      <c r="F464">
        <v>7061.81</v>
      </c>
      <c r="G464">
        <v>72374</v>
      </c>
      <c r="H464">
        <v>1961</v>
      </c>
      <c r="I464">
        <v>102</v>
      </c>
      <c r="J464">
        <v>5007.65</v>
      </c>
    </row>
    <row r="465" spans="1:10">
      <c r="A465" t="s">
        <v>482</v>
      </c>
      <c r="B465" s="15">
        <v>45736</v>
      </c>
      <c r="C465" t="s">
        <v>19</v>
      </c>
      <c r="D465" t="s">
        <v>17</v>
      </c>
      <c r="E465">
        <v>6176.53</v>
      </c>
      <c r="F465">
        <v>5378.62</v>
      </c>
      <c r="G465">
        <v>194426</v>
      </c>
      <c r="H465">
        <v>2729</v>
      </c>
      <c r="I465">
        <v>147</v>
      </c>
      <c r="J465">
        <v>3264.12</v>
      </c>
    </row>
    <row r="466" spans="1:10">
      <c r="A466" t="s">
        <v>483</v>
      </c>
      <c r="B466" s="15">
        <v>45761</v>
      </c>
      <c r="C466" t="s">
        <v>22</v>
      </c>
      <c r="D466" t="s">
        <v>15</v>
      </c>
      <c r="E466">
        <v>4188.31</v>
      </c>
      <c r="F466">
        <v>4003.74</v>
      </c>
      <c r="G466">
        <v>63381</v>
      </c>
      <c r="H466">
        <v>1826</v>
      </c>
      <c r="I466">
        <v>231</v>
      </c>
      <c r="J466">
        <v>6955.43</v>
      </c>
    </row>
    <row r="467" spans="1:10">
      <c r="A467" t="s">
        <v>484</v>
      </c>
      <c r="B467" s="15">
        <v>45719</v>
      </c>
      <c r="C467" t="s">
        <v>24</v>
      </c>
      <c r="D467" t="s">
        <v>15</v>
      </c>
      <c r="E467">
        <v>8802.18</v>
      </c>
      <c r="F467">
        <v>8179.57</v>
      </c>
      <c r="G467">
        <v>109943</v>
      </c>
      <c r="H467">
        <v>4843</v>
      </c>
      <c r="I467">
        <v>579</v>
      </c>
      <c r="J467">
        <v>15900.17</v>
      </c>
    </row>
    <row r="468" spans="1:10">
      <c r="A468" t="s">
        <v>485</v>
      </c>
      <c r="B468" s="15">
        <v>45768</v>
      </c>
      <c r="C468" t="s">
        <v>22</v>
      </c>
      <c r="D468" t="s">
        <v>20</v>
      </c>
      <c r="E468">
        <v>7320.01</v>
      </c>
      <c r="F468">
        <v>7408.09</v>
      </c>
      <c r="G468">
        <v>142900</v>
      </c>
      <c r="H468">
        <v>3707</v>
      </c>
      <c r="I468">
        <v>151</v>
      </c>
      <c r="J468">
        <v>3776.7</v>
      </c>
    </row>
    <row r="469" spans="1:10">
      <c r="A469" t="s">
        <v>486</v>
      </c>
      <c r="B469" s="15">
        <v>45666</v>
      </c>
      <c r="C469" t="s">
        <v>22</v>
      </c>
      <c r="D469" t="s">
        <v>17</v>
      </c>
      <c r="E469">
        <v>4173.33</v>
      </c>
      <c r="F469">
        <v>3384.58</v>
      </c>
      <c r="G469">
        <v>197974</v>
      </c>
      <c r="H469">
        <v>4601</v>
      </c>
      <c r="I469">
        <v>675</v>
      </c>
      <c r="J469">
        <v>28412.14</v>
      </c>
    </row>
    <row r="470" spans="1:10">
      <c r="A470" t="s">
        <v>487</v>
      </c>
      <c r="B470" s="15">
        <v>45811</v>
      </c>
      <c r="C470" t="s">
        <v>11</v>
      </c>
      <c r="D470" t="s">
        <v>15</v>
      </c>
      <c r="E470">
        <v>7646.63</v>
      </c>
      <c r="F470">
        <v>7206.1</v>
      </c>
      <c r="G470">
        <v>102196</v>
      </c>
      <c r="H470">
        <v>4290</v>
      </c>
      <c r="I470">
        <v>391</v>
      </c>
      <c r="J470">
        <v>17722.12</v>
      </c>
    </row>
    <row r="471" spans="1:10">
      <c r="A471" t="s">
        <v>488</v>
      </c>
      <c r="B471" s="15">
        <v>45686</v>
      </c>
      <c r="C471" t="s">
        <v>11</v>
      </c>
      <c r="D471" t="s">
        <v>12</v>
      </c>
      <c r="E471">
        <v>8639.69</v>
      </c>
      <c r="F471">
        <v>8428.94</v>
      </c>
      <c r="G471">
        <v>72102</v>
      </c>
      <c r="H471">
        <v>2351</v>
      </c>
      <c r="I471">
        <v>159</v>
      </c>
      <c r="J471">
        <v>7321.65</v>
      </c>
    </row>
    <row r="472" spans="1:10">
      <c r="A472" t="s">
        <v>489</v>
      </c>
      <c r="B472" s="15">
        <v>45806</v>
      </c>
      <c r="C472" t="s">
        <v>11</v>
      </c>
      <c r="D472" t="s">
        <v>17</v>
      </c>
      <c r="E472">
        <v>4440.89</v>
      </c>
      <c r="F472">
        <v>3701.82</v>
      </c>
      <c r="G472">
        <v>138622</v>
      </c>
      <c r="H472">
        <v>4757</v>
      </c>
      <c r="I472">
        <v>629</v>
      </c>
      <c r="J472">
        <v>17670.18</v>
      </c>
    </row>
    <row r="473" spans="1:10">
      <c r="A473" t="s">
        <v>490</v>
      </c>
      <c r="B473" s="15">
        <v>45654</v>
      </c>
      <c r="C473" t="s">
        <v>24</v>
      </c>
      <c r="D473" t="s">
        <v>15</v>
      </c>
      <c r="E473">
        <v>3399.61</v>
      </c>
      <c r="F473">
        <v>3261.42</v>
      </c>
      <c r="G473">
        <v>75127</v>
      </c>
      <c r="H473">
        <v>3158</v>
      </c>
      <c r="I473">
        <v>620</v>
      </c>
      <c r="J473">
        <v>29820.87</v>
      </c>
    </row>
    <row r="474" spans="1:10">
      <c r="A474" t="s">
        <v>491</v>
      </c>
      <c r="B474" s="15">
        <v>45674</v>
      </c>
      <c r="C474" t="s">
        <v>22</v>
      </c>
      <c r="D474" t="s">
        <v>17</v>
      </c>
      <c r="E474">
        <v>3275.4</v>
      </c>
      <c r="F474">
        <v>2740.31</v>
      </c>
      <c r="G474">
        <v>65706</v>
      </c>
      <c r="H474">
        <v>3012</v>
      </c>
      <c r="I474">
        <v>475</v>
      </c>
      <c r="J474">
        <v>15943.84</v>
      </c>
    </row>
    <row r="475" spans="1:10">
      <c r="A475" t="s">
        <v>492</v>
      </c>
      <c r="B475" s="15">
        <v>45782</v>
      </c>
      <c r="C475" t="s">
        <v>24</v>
      </c>
      <c r="D475" t="s">
        <v>15</v>
      </c>
      <c r="E475">
        <v>9537.13</v>
      </c>
      <c r="F475">
        <v>8534.27</v>
      </c>
      <c r="G475">
        <v>59862</v>
      </c>
      <c r="H475">
        <v>2333</v>
      </c>
      <c r="I475">
        <v>272</v>
      </c>
      <c r="J475">
        <v>9579.04</v>
      </c>
    </row>
    <row r="476" spans="1:10">
      <c r="A476" t="s">
        <v>493</v>
      </c>
      <c r="B476" s="15">
        <v>45658</v>
      </c>
      <c r="C476" t="s">
        <v>22</v>
      </c>
      <c r="D476" t="s">
        <v>17</v>
      </c>
      <c r="E476">
        <v>3291.01</v>
      </c>
      <c r="F476">
        <v>2779.27</v>
      </c>
      <c r="G476">
        <v>74195</v>
      </c>
      <c r="H476">
        <v>2526</v>
      </c>
      <c r="I476">
        <v>392</v>
      </c>
      <c r="J476">
        <v>19442.77</v>
      </c>
    </row>
    <row r="477" spans="1:10">
      <c r="A477" t="s">
        <v>494</v>
      </c>
      <c r="B477" s="15">
        <v>45682</v>
      </c>
      <c r="C477" t="s">
        <v>24</v>
      </c>
      <c r="D477" t="s">
        <v>17</v>
      </c>
      <c r="E477">
        <v>9755.83</v>
      </c>
      <c r="F477">
        <v>7819.12</v>
      </c>
      <c r="G477">
        <v>175747</v>
      </c>
      <c r="H477">
        <v>7548</v>
      </c>
      <c r="I477">
        <v>1026</v>
      </c>
      <c r="J477">
        <v>49816.77</v>
      </c>
    </row>
    <row r="478" spans="1:10">
      <c r="A478" t="s">
        <v>495</v>
      </c>
      <c r="B478" s="15">
        <v>45684</v>
      </c>
      <c r="C478" t="s">
        <v>14</v>
      </c>
      <c r="D478" t="s">
        <v>20</v>
      </c>
      <c r="E478">
        <v>7473.84</v>
      </c>
      <c r="F478">
        <v>7925.08</v>
      </c>
      <c r="G478">
        <v>150368</v>
      </c>
      <c r="H478">
        <v>2680</v>
      </c>
      <c r="I478">
        <v>75</v>
      </c>
      <c r="J478">
        <v>2523.16</v>
      </c>
    </row>
    <row r="479" spans="1:10">
      <c r="A479" t="s">
        <v>496</v>
      </c>
      <c r="B479" s="15">
        <v>45802</v>
      </c>
      <c r="C479" t="s">
        <v>22</v>
      </c>
      <c r="D479" t="s">
        <v>20</v>
      </c>
      <c r="E479">
        <v>6609.17</v>
      </c>
      <c r="F479">
        <v>6256.6</v>
      </c>
      <c r="G479">
        <v>199789</v>
      </c>
      <c r="H479">
        <v>2837</v>
      </c>
      <c r="I479">
        <v>387</v>
      </c>
      <c r="J479">
        <v>15482.29</v>
      </c>
    </row>
    <row r="480" spans="1:10">
      <c r="A480" t="s">
        <v>497</v>
      </c>
      <c r="B480" s="15">
        <v>45778</v>
      </c>
      <c r="C480" t="s">
        <v>24</v>
      </c>
      <c r="D480" t="s">
        <v>15</v>
      </c>
      <c r="E480">
        <v>3977.56</v>
      </c>
      <c r="F480">
        <v>3217.81</v>
      </c>
      <c r="G480">
        <v>183098</v>
      </c>
      <c r="H480">
        <v>3716</v>
      </c>
      <c r="I480">
        <v>153</v>
      </c>
      <c r="J480">
        <v>4473.4</v>
      </c>
    </row>
    <row r="481" spans="1:10">
      <c r="A481" t="s">
        <v>498</v>
      </c>
      <c r="B481" s="15">
        <v>45773</v>
      </c>
      <c r="C481" t="s">
        <v>11</v>
      </c>
      <c r="D481" t="s">
        <v>20</v>
      </c>
      <c r="E481">
        <v>7932.77</v>
      </c>
      <c r="F481">
        <v>6826.59</v>
      </c>
      <c r="G481">
        <v>170452</v>
      </c>
      <c r="H481">
        <v>8283</v>
      </c>
      <c r="I481">
        <v>370</v>
      </c>
      <c r="J481">
        <v>14875.1</v>
      </c>
    </row>
    <row r="482" spans="1:10">
      <c r="A482" t="s">
        <v>499</v>
      </c>
      <c r="B482" s="15">
        <v>45710</v>
      </c>
      <c r="C482" t="s">
        <v>14</v>
      </c>
      <c r="D482" t="s">
        <v>20</v>
      </c>
      <c r="E482">
        <v>9789.38</v>
      </c>
      <c r="F482">
        <v>8107.27</v>
      </c>
      <c r="G482">
        <v>118097</v>
      </c>
      <c r="H482">
        <v>1117</v>
      </c>
      <c r="I482">
        <v>118</v>
      </c>
      <c r="J482">
        <v>4741.01</v>
      </c>
    </row>
    <row r="483" spans="1:10">
      <c r="A483" t="s">
        <v>500</v>
      </c>
      <c r="B483" s="15">
        <v>45804</v>
      </c>
      <c r="C483" t="s">
        <v>11</v>
      </c>
      <c r="D483" t="s">
        <v>15</v>
      </c>
      <c r="E483">
        <v>6106.25</v>
      </c>
      <c r="F483">
        <v>6475.33</v>
      </c>
      <c r="G483">
        <v>115700</v>
      </c>
      <c r="H483">
        <v>2582</v>
      </c>
      <c r="I483">
        <v>147</v>
      </c>
      <c r="J483">
        <v>3721.23</v>
      </c>
    </row>
    <row r="484" spans="1:10">
      <c r="A484" t="s">
        <v>501</v>
      </c>
      <c r="B484" s="15">
        <v>45710</v>
      </c>
      <c r="C484" t="s">
        <v>19</v>
      </c>
      <c r="D484" t="s">
        <v>17</v>
      </c>
      <c r="E484">
        <v>7848.38</v>
      </c>
      <c r="F484">
        <v>8252.06</v>
      </c>
      <c r="G484">
        <v>55522</v>
      </c>
      <c r="H484">
        <v>2245</v>
      </c>
      <c r="I484">
        <v>185</v>
      </c>
      <c r="J484">
        <v>8942.61</v>
      </c>
    </row>
    <row r="485" spans="1:10">
      <c r="A485" t="s">
        <v>502</v>
      </c>
      <c r="B485" s="15">
        <v>45775</v>
      </c>
      <c r="C485" t="s">
        <v>14</v>
      </c>
      <c r="D485" t="s">
        <v>15</v>
      </c>
      <c r="E485">
        <v>7782.74</v>
      </c>
      <c r="F485">
        <v>7387.01</v>
      </c>
      <c r="G485">
        <v>150531</v>
      </c>
      <c r="H485">
        <v>3586</v>
      </c>
      <c r="I485">
        <v>622</v>
      </c>
      <c r="J485">
        <v>23969.03</v>
      </c>
    </row>
    <row r="486" spans="1:10">
      <c r="A486" t="s">
        <v>503</v>
      </c>
      <c r="B486" s="15">
        <v>45752</v>
      </c>
      <c r="C486" t="s">
        <v>22</v>
      </c>
      <c r="D486" t="s">
        <v>15</v>
      </c>
      <c r="E486">
        <v>9082.33</v>
      </c>
      <c r="F486">
        <v>8820.6</v>
      </c>
      <c r="G486">
        <v>103488</v>
      </c>
      <c r="H486">
        <v>2459</v>
      </c>
      <c r="I486">
        <v>416</v>
      </c>
      <c r="J486">
        <v>8699.23</v>
      </c>
    </row>
    <row r="487" spans="1:10">
      <c r="A487" t="s">
        <v>504</v>
      </c>
      <c r="B487" s="15">
        <v>45674</v>
      </c>
      <c r="C487" t="s">
        <v>24</v>
      </c>
      <c r="D487" t="s">
        <v>17</v>
      </c>
      <c r="E487">
        <v>9516.64</v>
      </c>
      <c r="F487">
        <v>9581.91</v>
      </c>
      <c r="G487">
        <v>84687</v>
      </c>
      <c r="H487">
        <v>2681</v>
      </c>
      <c r="I487">
        <v>448</v>
      </c>
      <c r="J487">
        <v>18052.34</v>
      </c>
    </row>
    <row r="488" spans="1:10">
      <c r="A488" t="s">
        <v>505</v>
      </c>
      <c r="B488" s="15">
        <v>45695</v>
      </c>
      <c r="C488" t="s">
        <v>24</v>
      </c>
      <c r="D488" t="s">
        <v>17</v>
      </c>
      <c r="E488">
        <v>4509.73</v>
      </c>
      <c r="F488">
        <v>4499.2</v>
      </c>
      <c r="G488">
        <v>147771</v>
      </c>
      <c r="H488">
        <v>5682</v>
      </c>
      <c r="I488">
        <v>699</v>
      </c>
      <c r="J488">
        <v>22239.34</v>
      </c>
    </row>
    <row r="489" spans="1:10">
      <c r="A489" t="s">
        <v>506</v>
      </c>
      <c r="B489" s="15">
        <v>45708</v>
      </c>
      <c r="C489" t="s">
        <v>11</v>
      </c>
      <c r="D489" t="s">
        <v>20</v>
      </c>
      <c r="E489">
        <v>7558.63</v>
      </c>
      <c r="F489">
        <v>6288.61</v>
      </c>
      <c r="G489">
        <v>112643</v>
      </c>
      <c r="H489">
        <v>4673</v>
      </c>
      <c r="I489">
        <v>506</v>
      </c>
      <c r="J489">
        <v>20106.09</v>
      </c>
    </row>
    <row r="490" spans="1:10">
      <c r="A490" t="s">
        <v>507</v>
      </c>
      <c r="B490" s="15">
        <v>45680</v>
      </c>
      <c r="C490" t="s">
        <v>19</v>
      </c>
      <c r="D490" t="s">
        <v>17</v>
      </c>
      <c r="E490">
        <v>9995.9</v>
      </c>
      <c r="F490">
        <v>8141.3</v>
      </c>
      <c r="G490">
        <v>99483</v>
      </c>
      <c r="H490">
        <v>4587</v>
      </c>
      <c r="I490">
        <v>250</v>
      </c>
      <c r="J490">
        <v>12328.81</v>
      </c>
    </row>
    <row r="491" spans="1:10">
      <c r="A491" t="s">
        <v>508</v>
      </c>
      <c r="B491" s="15">
        <v>45690</v>
      </c>
      <c r="C491" t="s">
        <v>22</v>
      </c>
      <c r="D491" t="s">
        <v>15</v>
      </c>
      <c r="E491">
        <v>5848.36</v>
      </c>
      <c r="F491">
        <v>6206.43</v>
      </c>
      <c r="G491">
        <v>166799</v>
      </c>
      <c r="H491">
        <v>6009</v>
      </c>
      <c r="I491">
        <v>332</v>
      </c>
      <c r="J491">
        <v>14432.56</v>
      </c>
    </row>
    <row r="492" spans="1:10">
      <c r="A492" t="s">
        <v>509</v>
      </c>
      <c r="B492" s="15">
        <v>45728</v>
      </c>
      <c r="C492" t="s">
        <v>22</v>
      </c>
      <c r="D492" t="s">
        <v>12</v>
      </c>
      <c r="E492">
        <v>6969.11</v>
      </c>
      <c r="F492">
        <v>7119.19</v>
      </c>
      <c r="G492">
        <v>64146</v>
      </c>
      <c r="H492">
        <v>2927</v>
      </c>
      <c r="I492">
        <v>300</v>
      </c>
      <c r="J492">
        <v>13906.64</v>
      </c>
    </row>
    <row r="493" spans="1:10">
      <c r="A493" t="s">
        <v>510</v>
      </c>
      <c r="B493" s="15">
        <v>45728</v>
      </c>
      <c r="C493" t="s">
        <v>24</v>
      </c>
      <c r="D493" t="s">
        <v>12</v>
      </c>
      <c r="E493">
        <v>5828.98</v>
      </c>
      <c r="F493">
        <v>5235.06</v>
      </c>
      <c r="G493">
        <v>165901</v>
      </c>
      <c r="H493">
        <v>3604</v>
      </c>
      <c r="I493">
        <v>431</v>
      </c>
      <c r="J493">
        <v>17251.98</v>
      </c>
    </row>
    <row r="494" spans="1:10">
      <c r="A494" t="s">
        <v>511</v>
      </c>
      <c r="B494" s="15">
        <v>45776</v>
      </c>
      <c r="C494" t="s">
        <v>19</v>
      </c>
      <c r="D494" t="s">
        <v>12</v>
      </c>
      <c r="E494">
        <v>8654.92</v>
      </c>
      <c r="F494">
        <v>8903.19</v>
      </c>
      <c r="G494">
        <v>52359</v>
      </c>
      <c r="H494">
        <v>1523</v>
      </c>
      <c r="I494">
        <v>135</v>
      </c>
      <c r="J494">
        <v>5931.15</v>
      </c>
    </row>
    <row r="495" spans="1:10">
      <c r="A495" t="s">
        <v>512</v>
      </c>
      <c r="B495" s="15">
        <v>45799</v>
      </c>
      <c r="C495" t="s">
        <v>14</v>
      </c>
      <c r="D495" t="s">
        <v>12</v>
      </c>
      <c r="E495">
        <v>6049.08</v>
      </c>
      <c r="F495">
        <v>6323.41</v>
      </c>
      <c r="G495">
        <v>158601</v>
      </c>
      <c r="H495">
        <v>7199</v>
      </c>
      <c r="I495">
        <v>503</v>
      </c>
      <c r="J495">
        <v>11873.95</v>
      </c>
    </row>
    <row r="496" spans="1:10">
      <c r="A496" t="s">
        <v>513</v>
      </c>
      <c r="B496" s="15">
        <v>45698</v>
      </c>
      <c r="C496" t="s">
        <v>22</v>
      </c>
      <c r="D496" t="s">
        <v>17</v>
      </c>
      <c r="E496">
        <v>6811.42</v>
      </c>
      <c r="F496">
        <v>5460.9</v>
      </c>
      <c r="G496">
        <v>73610</v>
      </c>
      <c r="H496">
        <v>2346</v>
      </c>
      <c r="I496">
        <v>170</v>
      </c>
      <c r="J496">
        <v>5055.39</v>
      </c>
    </row>
    <row r="497" spans="1:10">
      <c r="A497" t="s">
        <v>514</v>
      </c>
      <c r="B497" s="15">
        <v>45667</v>
      </c>
      <c r="C497" t="s">
        <v>22</v>
      </c>
      <c r="D497" t="s">
        <v>20</v>
      </c>
      <c r="E497">
        <v>5565.23</v>
      </c>
      <c r="F497">
        <v>5113.62</v>
      </c>
      <c r="G497">
        <v>67169</v>
      </c>
      <c r="H497">
        <v>1577</v>
      </c>
      <c r="I497">
        <v>305</v>
      </c>
      <c r="J497">
        <v>12463.52</v>
      </c>
    </row>
    <row r="498" spans="1:10">
      <c r="A498" t="s">
        <v>515</v>
      </c>
      <c r="B498" s="15">
        <v>45699</v>
      </c>
      <c r="C498" t="s">
        <v>24</v>
      </c>
      <c r="D498" t="s">
        <v>17</v>
      </c>
      <c r="E498">
        <v>5719.91</v>
      </c>
      <c r="F498">
        <v>5345.87</v>
      </c>
      <c r="G498">
        <v>152621</v>
      </c>
      <c r="H498">
        <v>2741</v>
      </c>
      <c r="I498">
        <v>345</v>
      </c>
      <c r="J498">
        <v>9358.58</v>
      </c>
    </row>
    <row r="499" spans="1:10">
      <c r="A499" t="s">
        <v>516</v>
      </c>
      <c r="B499" s="15">
        <v>45636</v>
      </c>
      <c r="C499" t="s">
        <v>14</v>
      </c>
      <c r="D499" t="s">
        <v>12</v>
      </c>
      <c r="E499">
        <v>5612.76</v>
      </c>
      <c r="F499">
        <v>4872.89</v>
      </c>
      <c r="G499">
        <v>107940</v>
      </c>
      <c r="H499">
        <v>2915</v>
      </c>
      <c r="I499">
        <v>150</v>
      </c>
      <c r="J499">
        <v>3329.38</v>
      </c>
    </row>
    <row r="500" spans="1:10">
      <c r="A500" t="s">
        <v>517</v>
      </c>
      <c r="B500" s="15">
        <v>45779</v>
      </c>
      <c r="C500" t="s">
        <v>19</v>
      </c>
      <c r="D500" t="s">
        <v>15</v>
      </c>
      <c r="E500">
        <v>7224.14</v>
      </c>
      <c r="F500">
        <v>7227.49</v>
      </c>
      <c r="G500">
        <v>68836</v>
      </c>
      <c r="H500">
        <v>3169</v>
      </c>
      <c r="I500">
        <v>620</v>
      </c>
      <c r="J500">
        <v>23922.52</v>
      </c>
    </row>
    <row r="501" spans="1:10">
      <c r="A501" t="s">
        <v>518</v>
      </c>
      <c r="B501" s="15">
        <v>45771</v>
      </c>
      <c r="C501" t="s">
        <v>22</v>
      </c>
      <c r="D501" t="s">
        <v>12</v>
      </c>
      <c r="E501">
        <v>6244.46</v>
      </c>
      <c r="F501">
        <v>5707.04</v>
      </c>
      <c r="G501">
        <v>140338</v>
      </c>
      <c r="H501">
        <v>5296</v>
      </c>
      <c r="I501">
        <v>294</v>
      </c>
      <c r="J501">
        <v>13494.6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4"/>
  <sheetViews>
    <sheetView workbookViewId="0">
      <selection activeCell="G13" sqref="G13"/>
    </sheetView>
  </sheetViews>
  <sheetFormatPr defaultColWidth="9" defaultRowHeight="14.4"/>
  <cols>
    <col min="2" max="2" width="18.2222222222222" style="10" customWidth="1"/>
    <col min="3" max="3" width="11.3333333333333" customWidth="1"/>
    <col min="7" max="7" width="22" style="6" customWidth="1"/>
    <col min="8" max="8" width="12.8888888888889" style="6" customWidth="1"/>
    <col min="9" max="9" width="15.8888888888889" style="6" customWidth="1"/>
    <col min="10" max="10" width="9.66666666666667"/>
    <col min="11" max="14" width="12.8888888888889"/>
    <col min="15" max="15" width="9.66666666666667"/>
    <col min="16" max="16" width="13.7777777777778" customWidth="1"/>
    <col min="17" max="17" width="14.4444444444444" customWidth="1"/>
  </cols>
  <sheetData>
    <row r="1" spans="1:17">
      <c r="A1" s="11" t="s">
        <v>0</v>
      </c>
      <c r="B1" s="12" t="s">
        <v>1</v>
      </c>
      <c r="C1" s="11" t="s">
        <v>2</v>
      </c>
      <c r="D1" s="11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3" t="s">
        <v>9</v>
      </c>
      <c r="K1" s="14" t="s">
        <v>519</v>
      </c>
      <c r="L1" s="13" t="s">
        <v>520</v>
      </c>
      <c r="M1" s="14" t="s">
        <v>521</v>
      </c>
      <c r="N1" s="14" t="s">
        <v>522</v>
      </c>
      <c r="O1" s="13" t="s">
        <v>523</v>
      </c>
      <c r="P1" s="13" t="s">
        <v>524</v>
      </c>
      <c r="Q1" s="13" t="s">
        <v>525</v>
      </c>
    </row>
    <row r="2" spans="1:17">
      <c r="A2" t="s">
        <v>10</v>
      </c>
      <c r="B2" s="10">
        <v>45780</v>
      </c>
      <c r="C2" t="s">
        <v>11</v>
      </c>
      <c r="D2" t="s">
        <v>12</v>
      </c>
      <c r="E2">
        <v>5621.78</v>
      </c>
      <c r="F2">
        <v>6100.84</v>
      </c>
      <c r="G2" s="6">
        <v>120704</v>
      </c>
      <c r="H2" s="6">
        <v>5511</v>
      </c>
      <c r="I2" s="6">
        <v>1050</v>
      </c>
      <c r="J2">
        <v>44057.81</v>
      </c>
      <c r="K2">
        <f>H2/G2</f>
        <v>0.0456571447507953</v>
      </c>
      <c r="L2">
        <f>F2/H2</f>
        <v>1.10702957720922</v>
      </c>
      <c r="M2">
        <f>F2/I2</f>
        <v>5.81032380952381</v>
      </c>
      <c r="N2">
        <f>J2/F2</f>
        <v>7.22159735380702</v>
      </c>
      <c r="O2">
        <f>J2-F2</f>
        <v>37956.97</v>
      </c>
      <c r="P2">
        <f>O2/J2</f>
        <v>0.861526480776053</v>
      </c>
      <c r="Q2" t="str">
        <f>TEXT(B2,"yyyy-mm")</f>
        <v>2025-05</v>
      </c>
    </row>
    <row r="3" spans="1:17">
      <c r="A3" t="s">
        <v>13</v>
      </c>
      <c r="B3" s="10">
        <v>45674</v>
      </c>
      <c r="C3" t="s">
        <v>14</v>
      </c>
      <c r="D3" t="s">
        <v>15</v>
      </c>
      <c r="E3">
        <v>7190.61</v>
      </c>
      <c r="F3">
        <v>6089.05</v>
      </c>
      <c r="G3" s="6">
        <v>64473</v>
      </c>
      <c r="H3" s="6">
        <v>1120</v>
      </c>
      <c r="I3" s="6">
        <v>72</v>
      </c>
      <c r="J3">
        <v>1776.95</v>
      </c>
      <c r="K3">
        <f t="shared" ref="K3:K66" si="0">H3/G3</f>
        <v>0.0173716129232392</v>
      </c>
      <c r="L3">
        <f t="shared" ref="L3:L34" si="1">F3/H3</f>
        <v>5.43665178571429</v>
      </c>
      <c r="M3">
        <f t="shared" ref="M3:M66" si="2">F3/I3</f>
        <v>84.5701388888889</v>
      </c>
      <c r="N3">
        <f t="shared" ref="N3:N66" si="3">J3/F3</f>
        <v>0.29182713231128</v>
      </c>
      <c r="O3">
        <f t="shared" ref="O3:O66" si="4">J3-F3</f>
        <v>-4312.1</v>
      </c>
      <c r="P3">
        <f t="shared" ref="P3:P66" si="5">O3/J3</f>
        <v>-2.42668617575058</v>
      </c>
      <c r="Q3" t="str">
        <f t="shared" ref="Q3:Q66" si="6">TEXT(B3,"yyyy-mm")</f>
        <v>2025-01</v>
      </c>
    </row>
    <row r="4" spans="1:17">
      <c r="A4" t="s">
        <v>16</v>
      </c>
      <c r="B4" s="10">
        <v>45751</v>
      </c>
      <c r="C4" t="s">
        <v>14</v>
      </c>
      <c r="D4" t="s">
        <v>17</v>
      </c>
      <c r="E4">
        <v>3406.59</v>
      </c>
      <c r="F4">
        <v>3610.48</v>
      </c>
      <c r="G4" s="6">
        <v>113908</v>
      </c>
      <c r="H4" s="6">
        <v>5345</v>
      </c>
      <c r="I4" s="6">
        <v>1004</v>
      </c>
      <c r="J4">
        <v>38185.58</v>
      </c>
      <c r="K4">
        <f t="shared" si="0"/>
        <v>0.0469238332689539</v>
      </c>
      <c r="L4">
        <f t="shared" si="1"/>
        <v>0.675487371375117</v>
      </c>
      <c r="M4">
        <f t="shared" si="2"/>
        <v>3.59609561752988</v>
      </c>
      <c r="N4">
        <f t="shared" si="3"/>
        <v>10.5763167224303</v>
      </c>
      <c r="O4">
        <f t="shared" si="4"/>
        <v>34575.1</v>
      </c>
      <c r="P4">
        <f t="shared" si="5"/>
        <v>0.905449125036205</v>
      </c>
      <c r="Q4" t="str">
        <f t="shared" si="6"/>
        <v>2025-04</v>
      </c>
    </row>
    <row r="5" spans="1:17">
      <c r="A5" t="s">
        <v>18</v>
      </c>
      <c r="B5" s="10">
        <v>45807</v>
      </c>
      <c r="C5" t="s">
        <v>19</v>
      </c>
      <c r="D5" t="s">
        <v>20</v>
      </c>
      <c r="E5">
        <v>7956.51</v>
      </c>
      <c r="F5">
        <v>6414.34</v>
      </c>
      <c r="G5" s="6">
        <v>91921</v>
      </c>
      <c r="H5" s="6">
        <v>3787</v>
      </c>
      <c r="I5" s="6">
        <v>329</v>
      </c>
      <c r="J5">
        <v>16153.01</v>
      </c>
      <c r="K5">
        <f t="shared" si="0"/>
        <v>0.0411984203827199</v>
      </c>
      <c r="L5">
        <f t="shared" si="1"/>
        <v>1.69377871666227</v>
      </c>
      <c r="M5">
        <f t="shared" si="2"/>
        <v>19.4964741641337</v>
      </c>
      <c r="N5">
        <f t="shared" si="3"/>
        <v>2.51826532425783</v>
      </c>
      <c r="O5">
        <f t="shared" si="4"/>
        <v>9738.67</v>
      </c>
      <c r="P5">
        <f t="shared" si="5"/>
        <v>0.602901254936386</v>
      </c>
      <c r="Q5" t="str">
        <f t="shared" si="6"/>
        <v>2025-05</v>
      </c>
    </row>
    <row r="6" spans="1:17">
      <c r="A6" t="s">
        <v>21</v>
      </c>
      <c r="B6" s="10">
        <v>45791</v>
      </c>
      <c r="C6" t="s">
        <v>22</v>
      </c>
      <c r="D6" t="s">
        <v>12</v>
      </c>
      <c r="E6">
        <v>8827.1</v>
      </c>
      <c r="F6">
        <v>7623.98</v>
      </c>
      <c r="G6" s="6">
        <v>191026</v>
      </c>
      <c r="H6" s="6">
        <v>8786</v>
      </c>
      <c r="I6" s="6">
        <v>423</v>
      </c>
      <c r="J6">
        <v>10767.36</v>
      </c>
      <c r="K6">
        <f t="shared" si="0"/>
        <v>0.0459937390721682</v>
      </c>
      <c r="L6">
        <f t="shared" si="1"/>
        <v>0.867741862053267</v>
      </c>
      <c r="M6">
        <f t="shared" si="2"/>
        <v>18.0235933806147</v>
      </c>
      <c r="N6">
        <f t="shared" si="3"/>
        <v>1.41230171117973</v>
      </c>
      <c r="O6">
        <f t="shared" si="4"/>
        <v>3143.38</v>
      </c>
      <c r="P6">
        <f t="shared" si="5"/>
        <v>0.291935999167856</v>
      </c>
      <c r="Q6" t="str">
        <f t="shared" si="6"/>
        <v>2025-05</v>
      </c>
    </row>
    <row r="7" spans="1:17">
      <c r="A7" t="s">
        <v>23</v>
      </c>
      <c r="B7" s="10">
        <v>45764</v>
      </c>
      <c r="C7" t="s">
        <v>24</v>
      </c>
      <c r="D7" t="s">
        <v>15</v>
      </c>
      <c r="E7">
        <v>4283.83</v>
      </c>
      <c r="F7">
        <v>3818.06</v>
      </c>
      <c r="G7" s="6">
        <v>127588</v>
      </c>
      <c r="H7" s="6">
        <v>5087</v>
      </c>
      <c r="I7" s="6">
        <v>842</v>
      </c>
      <c r="J7">
        <v>30095.35</v>
      </c>
      <c r="K7">
        <f t="shared" si="0"/>
        <v>0.0398705207386275</v>
      </c>
      <c r="L7">
        <f t="shared" si="1"/>
        <v>0.750552388441124</v>
      </c>
      <c r="M7">
        <f t="shared" si="2"/>
        <v>4.53451306413302</v>
      </c>
      <c r="N7">
        <f t="shared" si="3"/>
        <v>7.88236696123162</v>
      </c>
      <c r="O7">
        <f t="shared" si="4"/>
        <v>26277.29</v>
      </c>
      <c r="P7">
        <f t="shared" si="5"/>
        <v>0.873134554009174</v>
      </c>
      <c r="Q7" t="str">
        <f t="shared" si="6"/>
        <v>2025-04</v>
      </c>
    </row>
    <row r="8" spans="1:17">
      <c r="A8" t="s">
        <v>25</v>
      </c>
      <c r="B8" s="10">
        <v>45746</v>
      </c>
      <c r="C8" t="s">
        <v>19</v>
      </c>
      <c r="D8" t="s">
        <v>17</v>
      </c>
      <c r="E8">
        <v>6023.62</v>
      </c>
      <c r="F8">
        <v>5345.17</v>
      </c>
      <c r="G8" s="6">
        <v>72336</v>
      </c>
      <c r="H8" s="6">
        <v>1340</v>
      </c>
      <c r="I8" s="6">
        <v>236</v>
      </c>
      <c r="J8">
        <v>9051.92</v>
      </c>
      <c r="K8">
        <f t="shared" si="0"/>
        <v>0.0185246626852466</v>
      </c>
      <c r="L8">
        <f t="shared" si="1"/>
        <v>3.9889328358209</v>
      </c>
      <c r="M8">
        <f t="shared" si="2"/>
        <v>22.6490254237288</v>
      </c>
      <c r="N8">
        <f t="shared" si="3"/>
        <v>1.69347654050292</v>
      </c>
      <c r="O8">
        <f t="shared" si="4"/>
        <v>3706.75</v>
      </c>
      <c r="P8">
        <f t="shared" si="5"/>
        <v>0.409498758274488</v>
      </c>
      <c r="Q8" t="str">
        <f t="shared" si="6"/>
        <v>2025-03</v>
      </c>
    </row>
    <row r="9" spans="1:17">
      <c r="A9" t="s">
        <v>26</v>
      </c>
      <c r="B9" s="10">
        <v>45756</v>
      </c>
      <c r="C9" t="s">
        <v>14</v>
      </c>
      <c r="D9" t="s">
        <v>15</v>
      </c>
      <c r="E9">
        <v>3976.46</v>
      </c>
      <c r="F9">
        <v>3529.68</v>
      </c>
      <c r="G9" s="6">
        <v>64153</v>
      </c>
      <c r="H9" s="6">
        <v>2806</v>
      </c>
      <c r="I9" s="6">
        <v>283</v>
      </c>
      <c r="J9">
        <v>8770.41</v>
      </c>
      <c r="K9">
        <f t="shared" si="0"/>
        <v>0.0437391860084486</v>
      </c>
      <c r="L9">
        <f t="shared" si="1"/>
        <v>1.25790449037776</v>
      </c>
      <c r="M9">
        <f t="shared" si="2"/>
        <v>12.4723674911661</v>
      </c>
      <c r="N9">
        <f t="shared" si="3"/>
        <v>2.48476065818998</v>
      </c>
      <c r="O9">
        <f t="shared" si="4"/>
        <v>5240.73</v>
      </c>
      <c r="P9">
        <f t="shared" si="5"/>
        <v>0.59754675095007</v>
      </c>
      <c r="Q9" t="str">
        <f t="shared" si="6"/>
        <v>2025-04</v>
      </c>
    </row>
    <row r="10" spans="1:17">
      <c r="A10" t="s">
        <v>27</v>
      </c>
      <c r="B10" s="10">
        <v>45690</v>
      </c>
      <c r="C10" t="s">
        <v>19</v>
      </c>
      <c r="D10" t="s">
        <v>20</v>
      </c>
      <c r="E10">
        <v>6192.49</v>
      </c>
      <c r="F10">
        <v>6412.65</v>
      </c>
      <c r="G10" s="6">
        <v>53911</v>
      </c>
      <c r="H10" s="6">
        <v>2127</v>
      </c>
      <c r="I10" s="6">
        <v>315</v>
      </c>
      <c r="J10">
        <v>8186.92</v>
      </c>
      <c r="K10">
        <f t="shared" si="0"/>
        <v>0.0394539147854798</v>
      </c>
      <c r="L10">
        <f t="shared" si="1"/>
        <v>3.01488011283498</v>
      </c>
      <c r="M10">
        <f t="shared" si="2"/>
        <v>20.357619047619</v>
      </c>
      <c r="N10">
        <f t="shared" si="3"/>
        <v>1.27668280664</v>
      </c>
      <c r="O10">
        <f t="shared" si="4"/>
        <v>1774.27</v>
      </c>
      <c r="P10">
        <f t="shared" si="5"/>
        <v>0.21672008520909</v>
      </c>
      <c r="Q10" t="str">
        <f t="shared" si="6"/>
        <v>2025-02</v>
      </c>
    </row>
    <row r="11" spans="1:17">
      <c r="A11" t="s">
        <v>28</v>
      </c>
      <c r="B11" s="10">
        <v>45751</v>
      </c>
      <c r="C11" t="s">
        <v>19</v>
      </c>
      <c r="D11" t="s">
        <v>15</v>
      </c>
      <c r="E11">
        <v>6599.64</v>
      </c>
      <c r="F11">
        <v>6452.63</v>
      </c>
      <c r="G11" s="6">
        <v>185980</v>
      </c>
      <c r="H11" s="6">
        <v>5168</v>
      </c>
      <c r="I11" s="6">
        <v>68</v>
      </c>
      <c r="J11">
        <v>1454.76</v>
      </c>
      <c r="K11">
        <f t="shared" si="0"/>
        <v>0.0277879341864717</v>
      </c>
      <c r="L11">
        <f t="shared" si="1"/>
        <v>1.24857391640867</v>
      </c>
      <c r="M11">
        <f t="shared" si="2"/>
        <v>94.8916176470588</v>
      </c>
      <c r="N11">
        <f t="shared" si="3"/>
        <v>0.225452257451613</v>
      </c>
      <c r="O11">
        <f t="shared" si="4"/>
        <v>-4997.87</v>
      </c>
      <c r="P11">
        <f t="shared" si="5"/>
        <v>-3.43552888448954</v>
      </c>
      <c r="Q11" t="str">
        <f t="shared" si="6"/>
        <v>2025-04</v>
      </c>
    </row>
    <row r="12" spans="1:17">
      <c r="A12" t="s">
        <v>29</v>
      </c>
      <c r="B12" s="10">
        <v>45744</v>
      </c>
      <c r="C12" t="s">
        <v>19</v>
      </c>
      <c r="D12" t="s">
        <v>17</v>
      </c>
      <c r="E12">
        <v>7252.81</v>
      </c>
      <c r="F12">
        <v>6173.28</v>
      </c>
      <c r="G12" s="6">
        <v>195024</v>
      </c>
      <c r="H12" s="6">
        <v>9701</v>
      </c>
      <c r="I12" s="6">
        <v>801</v>
      </c>
      <c r="J12">
        <v>17583.19</v>
      </c>
      <c r="K12">
        <f t="shared" si="0"/>
        <v>0.0497425957830831</v>
      </c>
      <c r="L12">
        <f t="shared" si="1"/>
        <v>0.636355014946913</v>
      </c>
      <c r="M12">
        <f t="shared" si="2"/>
        <v>7.70696629213483</v>
      </c>
      <c r="N12">
        <f t="shared" si="3"/>
        <v>2.8482735272011</v>
      </c>
      <c r="O12">
        <f t="shared" si="4"/>
        <v>11409.91</v>
      </c>
      <c r="P12">
        <f t="shared" si="5"/>
        <v>0.648910123817123</v>
      </c>
      <c r="Q12" t="str">
        <f t="shared" si="6"/>
        <v>2025-03</v>
      </c>
    </row>
    <row r="13" spans="1:17">
      <c r="A13" t="s">
        <v>30</v>
      </c>
      <c r="B13" s="10">
        <v>45754</v>
      </c>
      <c r="C13" t="s">
        <v>24</v>
      </c>
      <c r="D13" t="s">
        <v>15</v>
      </c>
      <c r="E13">
        <v>9642.2</v>
      </c>
      <c r="F13">
        <v>10507.01</v>
      </c>
      <c r="G13" s="6">
        <v>54909</v>
      </c>
      <c r="H13" s="6">
        <v>2182</v>
      </c>
      <c r="I13" s="6">
        <v>153</v>
      </c>
      <c r="J13">
        <v>6770.54</v>
      </c>
      <c r="K13">
        <f t="shared" si="0"/>
        <v>0.0397384763882059</v>
      </c>
      <c r="L13">
        <f t="shared" si="1"/>
        <v>4.81531164069661</v>
      </c>
      <c r="M13">
        <f t="shared" si="2"/>
        <v>68.6732679738562</v>
      </c>
      <c r="N13">
        <f t="shared" si="3"/>
        <v>0.644383130881193</v>
      </c>
      <c r="O13">
        <f t="shared" si="4"/>
        <v>-3736.47</v>
      </c>
      <c r="P13">
        <f t="shared" si="5"/>
        <v>-0.551871785706901</v>
      </c>
      <c r="Q13" t="str">
        <f t="shared" si="6"/>
        <v>2025-04</v>
      </c>
    </row>
    <row r="14" spans="1:17">
      <c r="A14" t="s">
        <v>31</v>
      </c>
      <c r="B14" s="10">
        <v>45805</v>
      </c>
      <c r="C14" t="s">
        <v>22</v>
      </c>
      <c r="D14" t="s">
        <v>20</v>
      </c>
      <c r="E14">
        <v>5132.3</v>
      </c>
      <c r="F14">
        <v>4256.22</v>
      </c>
      <c r="G14" s="6">
        <v>69520</v>
      </c>
      <c r="H14" s="6">
        <v>1141</v>
      </c>
      <c r="I14" s="6">
        <v>134</v>
      </c>
      <c r="J14">
        <v>5430.62</v>
      </c>
      <c r="K14">
        <f t="shared" si="0"/>
        <v>0.0164125431530495</v>
      </c>
      <c r="L14">
        <f t="shared" si="1"/>
        <v>3.7302541630149</v>
      </c>
      <c r="M14">
        <f t="shared" si="2"/>
        <v>31.7628358208955</v>
      </c>
      <c r="N14">
        <f t="shared" si="3"/>
        <v>1.27592558655333</v>
      </c>
      <c r="O14">
        <f t="shared" si="4"/>
        <v>1174.4</v>
      </c>
      <c r="P14">
        <f t="shared" si="5"/>
        <v>0.216255234208985</v>
      </c>
      <c r="Q14" t="str">
        <f t="shared" si="6"/>
        <v>2025-05</v>
      </c>
    </row>
    <row r="15" spans="1:17">
      <c r="A15" t="s">
        <v>32</v>
      </c>
      <c r="B15" s="10">
        <v>45672</v>
      </c>
      <c r="C15" t="s">
        <v>22</v>
      </c>
      <c r="D15" t="s">
        <v>12</v>
      </c>
      <c r="E15">
        <v>6081.07</v>
      </c>
      <c r="F15">
        <v>5087.49</v>
      </c>
      <c r="G15" s="6">
        <v>126413</v>
      </c>
      <c r="H15" s="6">
        <v>3059</v>
      </c>
      <c r="I15" s="6">
        <v>58</v>
      </c>
      <c r="J15">
        <v>2021.61</v>
      </c>
      <c r="K15">
        <f t="shared" si="0"/>
        <v>0.0241984606013622</v>
      </c>
      <c r="L15">
        <f t="shared" si="1"/>
        <v>1.66312193527296</v>
      </c>
      <c r="M15">
        <f t="shared" si="2"/>
        <v>87.7153448275862</v>
      </c>
      <c r="N15">
        <f t="shared" si="3"/>
        <v>0.397368840037032</v>
      </c>
      <c r="O15">
        <f t="shared" si="4"/>
        <v>-3065.88</v>
      </c>
      <c r="P15">
        <f t="shared" si="5"/>
        <v>-1.51655363794204</v>
      </c>
      <c r="Q15" t="str">
        <f t="shared" si="6"/>
        <v>2025-01</v>
      </c>
    </row>
    <row r="16" spans="1:17">
      <c r="A16" t="s">
        <v>33</v>
      </c>
      <c r="B16" s="10">
        <v>45646</v>
      </c>
      <c r="C16" t="s">
        <v>11</v>
      </c>
      <c r="D16" t="s">
        <v>12</v>
      </c>
      <c r="E16">
        <v>3240.72</v>
      </c>
      <c r="F16">
        <v>3476.63</v>
      </c>
      <c r="G16" s="6">
        <v>76429</v>
      </c>
      <c r="H16" s="6">
        <v>2090</v>
      </c>
      <c r="I16" s="6">
        <v>69</v>
      </c>
      <c r="J16">
        <v>1915.67</v>
      </c>
      <c r="K16">
        <f t="shared" si="0"/>
        <v>0.0273456410524801</v>
      </c>
      <c r="L16">
        <f t="shared" si="1"/>
        <v>1.66345933014354</v>
      </c>
      <c r="M16">
        <f t="shared" si="2"/>
        <v>50.3859420289855</v>
      </c>
      <c r="N16">
        <f t="shared" si="3"/>
        <v>0.551013481446113</v>
      </c>
      <c r="O16">
        <f t="shared" si="4"/>
        <v>-1560.96</v>
      </c>
      <c r="P16">
        <f t="shared" si="5"/>
        <v>-0.814837628610356</v>
      </c>
      <c r="Q16" t="str">
        <f t="shared" si="6"/>
        <v>2024-12</v>
      </c>
    </row>
    <row r="17" spans="1:17">
      <c r="A17" t="s">
        <v>34</v>
      </c>
      <c r="B17" s="10">
        <v>45691</v>
      </c>
      <c r="C17" t="s">
        <v>11</v>
      </c>
      <c r="D17" t="s">
        <v>20</v>
      </c>
      <c r="E17">
        <v>7637.66</v>
      </c>
      <c r="F17">
        <v>6824.35</v>
      </c>
      <c r="G17" s="6">
        <v>59367</v>
      </c>
      <c r="H17" s="6">
        <v>1348</v>
      </c>
      <c r="I17" s="6">
        <v>152</v>
      </c>
      <c r="J17">
        <v>5411.51</v>
      </c>
      <c r="K17">
        <f t="shared" si="0"/>
        <v>0.0227062172587464</v>
      </c>
      <c r="L17">
        <f t="shared" si="1"/>
        <v>5.06257418397626</v>
      </c>
      <c r="M17">
        <f t="shared" si="2"/>
        <v>44.8970394736842</v>
      </c>
      <c r="N17">
        <f t="shared" si="3"/>
        <v>0.792970759119916</v>
      </c>
      <c r="O17">
        <f t="shared" si="4"/>
        <v>-1412.84</v>
      </c>
      <c r="P17">
        <f t="shared" si="5"/>
        <v>-0.261080548682346</v>
      </c>
      <c r="Q17" t="str">
        <f t="shared" si="6"/>
        <v>2025-02</v>
      </c>
    </row>
    <row r="18" spans="1:17">
      <c r="A18" t="s">
        <v>35</v>
      </c>
      <c r="B18" s="10">
        <v>45725</v>
      </c>
      <c r="C18" t="s">
        <v>14</v>
      </c>
      <c r="D18" t="s">
        <v>20</v>
      </c>
      <c r="E18">
        <v>6826.97</v>
      </c>
      <c r="F18">
        <v>5840.17</v>
      </c>
      <c r="G18" s="6">
        <v>186370</v>
      </c>
      <c r="H18" s="6">
        <v>9073</v>
      </c>
      <c r="I18" s="6">
        <v>1366</v>
      </c>
      <c r="J18">
        <v>67053.58</v>
      </c>
      <c r="K18">
        <f t="shared" si="0"/>
        <v>0.048682727906852</v>
      </c>
      <c r="L18">
        <f t="shared" si="1"/>
        <v>0.643686762922958</v>
      </c>
      <c r="M18">
        <f t="shared" si="2"/>
        <v>4.27538067349927</v>
      </c>
      <c r="N18">
        <f t="shared" si="3"/>
        <v>11.4814431771678</v>
      </c>
      <c r="O18">
        <f t="shared" si="4"/>
        <v>61213.41</v>
      </c>
      <c r="P18">
        <f t="shared" si="5"/>
        <v>0.912902935234778</v>
      </c>
      <c r="Q18" t="str">
        <f t="shared" si="6"/>
        <v>2025-03</v>
      </c>
    </row>
    <row r="19" spans="1:17">
      <c r="A19" t="s">
        <v>36</v>
      </c>
      <c r="B19" s="10">
        <v>45791</v>
      </c>
      <c r="C19" t="s">
        <v>24</v>
      </c>
      <c r="D19" t="s">
        <v>20</v>
      </c>
      <c r="E19">
        <v>8425.93</v>
      </c>
      <c r="F19">
        <v>9115.59</v>
      </c>
      <c r="G19" s="6">
        <v>177209</v>
      </c>
      <c r="H19" s="6">
        <v>2628</v>
      </c>
      <c r="I19" s="6">
        <v>342</v>
      </c>
      <c r="J19">
        <v>16020.93</v>
      </c>
      <c r="K19">
        <f t="shared" si="0"/>
        <v>0.0148299465602763</v>
      </c>
      <c r="L19">
        <f t="shared" si="1"/>
        <v>3.46864155251142</v>
      </c>
      <c r="M19">
        <f t="shared" si="2"/>
        <v>26.6537719298246</v>
      </c>
      <c r="N19">
        <f t="shared" si="3"/>
        <v>1.75753077968623</v>
      </c>
      <c r="O19">
        <f t="shared" si="4"/>
        <v>6905.34</v>
      </c>
      <c r="P19">
        <f t="shared" si="5"/>
        <v>0.431019922064449</v>
      </c>
      <c r="Q19" t="str">
        <f t="shared" si="6"/>
        <v>2025-05</v>
      </c>
    </row>
    <row r="20" spans="1:17">
      <c r="A20" t="s">
        <v>37</v>
      </c>
      <c r="B20" s="10">
        <v>45803</v>
      </c>
      <c r="C20" t="s">
        <v>11</v>
      </c>
      <c r="D20" t="s">
        <v>15</v>
      </c>
      <c r="E20">
        <v>7185.3</v>
      </c>
      <c r="F20">
        <v>7735.42</v>
      </c>
      <c r="G20" s="6">
        <v>113245</v>
      </c>
      <c r="H20" s="6">
        <v>4048</v>
      </c>
      <c r="I20" s="6">
        <v>620</v>
      </c>
      <c r="J20">
        <v>14045.96</v>
      </c>
      <c r="K20">
        <f t="shared" si="0"/>
        <v>0.0357455075279262</v>
      </c>
      <c r="L20">
        <f t="shared" si="1"/>
        <v>1.91092391304348</v>
      </c>
      <c r="M20">
        <f t="shared" si="2"/>
        <v>12.4764838709677</v>
      </c>
      <c r="N20">
        <f t="shared" si="3"/>
        <v>1.81579797864886</v>
      </c>
      <c r="O20">
        <f t="shared" si="4"/>
        <v>6310.54</v>
      </c>
      <c r="P20">
        <f t="shared" si="5"/>
        <v>0.449277941842352</v>
      </c>
      <c r="Q20" t="str">
        <f t="shared" si="6"/>
        <v>2025-05</v>
      </c>
    </row>
    <row r="21" spans="1:17">
      <c r="A21" t="s">
        <v>38</v>
      </c>
      <c r="B21" s="10">
        <v>45669</v>
      </c>
      <c r="C21" t="s">
        <v>11</v>
      </c>
      <c r="D21" t="s">
        <v>17</v>
      </c>
      <c r="E21">
        <v>4371.88</v>
      </c>
      <c r="F21">
        <v>3556.82</v>
      </c>
      <c r="G21" s="6">
        <v>134800</v>
      </c>
      <c r="H21" s="6">
        <v>4917</v>
      </c>
      <c r="I21" s="6">
        <v>128</v>
      </c>
      <c r="J21">
        <v>3809.27</v>
      </c>
      <c r="K21">
        <f t="shared" si="0"/>
        <v>0.0364762611275964</v>
      </c>
      <c r="L21">
        <f t="shared" si="1"/>
        <v>0.723371974781371</v>
      </c>
      <c r="M21">
        <f t="shared" si="2"/>
        <v>27.78765625</v>
      </c>
      <c r="N21">
        <f t="shared" si="3"/>
        <v>1.07097632154565</v>
      </c>
      <c r="O21">
        <f t="shared" si="4"/>
        <v>252.45</v>
      </c>
      <c r="P21">
        <f t="shared" si="5"/>
        <v>0.0662725404080046</v>
      </c>
      <c r="Q21" t="str">
        <f t="shared" si="6"/>
        <v>2025-01</v>
      </c>
    </row>
    <row r="22" spans="1:17">
      <c r="A22" t="s">
        <v>39</v>
      </c>
      <c r="B22" s="10">
        <v>45814</v>
      </c>
      <c r="C22" t="s">
        <v>11</v>
      </c>
      <c r="D22" t="s">
        <v>12</v>
      </c>
      <c r="E22">
        <v>5720.74</v>
      </c>
      <c r="F22">
        <v>5042.29</v>
      </c>
      <c r="G22" s="6">
        <v>128160</v>
      </c>
      <c r="H22" s="6">
        <v>1491</v>
      </c>
      <c r="I22" s="6">
        <v>279</v>
      </c>
      <c r="J22">
        <v>12516.53</v>
      </c>
      <c r="K22">
        <f t="shared" si="0"/>
        <v>0.0116338951310861</v>
      </c>
      <c r="L22">
        <f t="shared" si="1"/>
        <v>3.38181757209926</v>
      </c>
      <c r="M22">
        <f t="shared" si="2"/>
        <v>18.0727240143369</v>
      </c>
      <c r="N22">
        <f t="shared" si="3"/>
        <v>2.48231061680308</v>
      </c>
      <c r="O22">
        <f t="shared" si="4"/>
        <v>7474.24</v>
      </c>
      <c r="P22">
        <f t="shared" si="5"/>
        <v>0.597149529462239</v>
      </c>
      <c r="Q22" t="str">
        <f t="shared" si="6"/>
        <v>2025-06</v>
      </c>
    </row>
    <row r="23" spans="1:17">
      <c r="A23" t="s">
        <v>40</v>
      </c>
      <c r="B23" s="10">
        <v>45784</v>
      </c>
      <c r="C23" t="s">
        <v>24</v>
      </c>
      <c r="D23" t="s">
        <v>20</v>
      </c>
      <c r="E23">
        <v>5497.27</v>
      </c>
      <c r="F23">
        <v>4861.13</v>
      </c>
      <c r="G23" s="6">
        <v>156949</v>
      </c>
      <c r="H23" s="6">
        <v>1762</v>
      </c>
      <c r="I23" s="6">
        <v>304</v>
      </c>
      <c r="J23">
        <v>11029.39</v>
      </c>
      <c r="K23">
        <f t="shared" si="0"/>
        <v>0.0112265767860897</v>
      </c>
      <c r="L23">
        <f t="shared" si="1"/>
        <v>2.7588706015891</v>
      </c>
      <c r="M23">
        <f t="shared" si="2"/>
        <v>15.9905592105263</v>
      </c>
      <c r="N23">
        <f t="shared" si="3"/>
        <v>2.26889426943941</v>
      </c>
      <c r="O23">
        <f t="shared" si="4"/>
        <v>6168.26</v>
      </c>
      <c r="P23">
        <f t="shared" si="5"/>
        <v>0.559256676933176</v>
      </c>
      <c r="Q23" t="str">
        <f t="shared" si="6"/>
        <v>2025-05</v>
      </c>
    </row>
    <row r="24" spans="1:17">
      <c r="A24" t="s">
        <v>41</v>
      </c>
      <c r="B24" s="10">
        <v>45810</v>
      </c>
      <c r="C24" t="s">
        <v>14</v>
      </c>
      <c r="D24" t="s">
        <v>20</v>
      </c>
      <c r="E24">
        <v>3986.47</v>
      </c>
      <c r="F24">
        <v>4148.56</v>
      </c>
      <c r="G24" s="6">
        <v>138676</v>
      </c>
      <c r="H24" s="6">
        <v>4683</v>
      </c>
      <c r="I24" s="6">
        <v>91</v>
      </c>
      <c r="J24">
        <v>2023.52</v>
      </c>
      <c r="K24">
        <f t="shared" si="0"/>
        <v>0.0337693616775794</v>
      </c>
      <c r="L24">
        <f t="shared" si="1"/>
        <v>0.885876574845185</v>
      </c>
      <c r="M24">
        <f t="shared" si="2"/>
        <v>45.5885714285714</v>
      </c>
      <c r="N24">
        <f t="shared" si="3"/>
        <v>0.48776442910311</v>
      </c>
      <c r="O24">
        <f t="shared" si="4"/>
        <v>-2125.04</v>
      </c>
      <c r="P24">
        <f t="shared" si="5"/>
        <v>-1.0501700007907</v>
      </c>
      <c r="Q24" t="str">
        <f t="shared" si="6"/>
        <v>2025-06</v>
      </c>
    </row>
    <row r="25" spans="1:17">
      <c r="A25" t="s">
        <v>42</v>
      </c>
      <c r="B25" s="10">
        <v>45766</v>
      </c>
      <c r="C25" t="s">
        <v>24</v>
      </c>
      <c r="D25" t="s">
        <v>15</v>
      </c>
      <c r="E25">
        <v>9908.21</v>
      </c>
      <c r="F25">
        <v>10222.04</v>
      </c>
      <c r="G25" s="6">
        <v>133918</v>
      </c>
      <c r="H25" s="6">
        <v>4771</v>
      </c>
      <c r="I25" s="6">
        <v>266</v>
      </c>
      <c r="J25">
        <v>6905.75</v>
      </c>
      <c r="K25">
        <f t="shared" si="0"/>
        <v>0.0356262787676041</v>
      </c>
      <c r="L25">
        <f t="shared" si="1"/>
        <v>2.14253615594215</v>
      </c>
      <c r="M25">
        <f t="shared" si="2"/>
        <v>38.4287218045113</v>
      </c>
      <c r="N25">
        <f t="shared" si="3"/>
        <v>0.675574542850546</v>
      </c>
      <c r="O25">
        <f t="shared" si="4"/>
        <v>-3316.29</v>
      </c>
      <c r="P25">
        <f t="shared" si="5"/>
        <v>-0.480221554501684</v>
      </c>
      <c r="Q25" t="str">
        <f t="shared" si="6"/>
        <v>2025-04</v>
      </c>
    </row>
    <row r="26" spans="1:17">
      <c r="A26" t="s">
        <v>43</v>
      </c>
      <c r="B26" s="10">
        <v>45703</v>
      </c>
      <c r="C26" t="s">
        <v>19</v>
      </c>
      <c r="D26" t="s">
        <v>12</v>
      </c>
      <c r="E26">
        <v>3038.65</v>
      </c>
      <c r="F26">
        <v>3174.29</v>
      </c>
      <c r="G26" s="6">
        <v>116892</v>
      </c>
      <c r="H26" s="6">
        <v>1613</v>
      </c>
      <c r="I26" s="6">
        <v>73</v>
      </c>
      <c r="J26">
        <v>3008.02</v>
      </c>
      <c r="K26">
        <f t="shared" si="0"/>
        <v>0.0137990623823701</v>
      </c>
      <c r="L26">
        <f t="shared" si="1"/>
        <v>1.96794172349659</v>
      </c>
      <c r="M26">
        <f t="shared" si="2"/>
        <v>43.4834246575342</v>
      </c>
      <c r="N26">
        <f t="shared" si="3"/>
        <v>0.947619782691563</v>
      </c>
      <c r="O26">
        <f t="shared" si="4"/>
        <v>-166.27</v>
      </c>
      <c r="P26">
        <f t="shared" si="5"/>
        <v>-0.0552755633273715</v>
      </c>
      <c r="Q26" t="str">
        <f t="shared" si="6"/>
        <v>2025-02</v>
      </c>
    </row>
    <row r="27" spans="1:17">
      <c r="A27" t="s">
        <v>44</v>
      </c>
      <c r="B27" s="10">
        <v>45753</v>
      </c>
      <c r="C27" t="s">
        <v>14</v>
      </c>
      <c r="D27" t="s">
        <v>20</v>
      </c>
      <c r="E27">
        <v>8103.05</v>
      </c>
      <c r="F27">
        <v>8357.33</v>
      </c>
      <c r="G27" s="6">
        <v>187598</v>
      </c>
      <c r="H27" s="6">
        <v>7514</v>
      </c>
      <c r="I27" s="6">
        <v>1465</v>
      </c>
      <c r="J27">
        <v>32554.26</v>
      </c>
      <c r="K27">
        <f t="shared" si="0"/>
        <v>0.0400537319161185</v>
      </c>
      <c r="L27">
        <f t="shared" si="1"/>
        <v>1.1122344956082</v>
      </c>
      <c r="M27">
        <f t="shared" si="2"/>
        <v>5.70466211604096</v>
      </c>
      <c r="N27">
        <f t="shared" si="3"/>
        <v>3.89529431050347</v>
      </c>
      <c r="O27">
        <f t="shared" si="4"/>
        <v>24196.93</v>
      </c>
      <c r="P27">
        <f t="shared" si="5"/>
        <v>0.74327998854835</v>
      </c>
      <c r="Q27" t="str">
        <f t="shared" si="6"/>
        <v>2025-04</v>
      </c>
    </row>
    <row r="28" spans="1:17">
      <c r="A28" t="s">
        <v>45</v>
      </c>
      <c r="B28" s="10">
        <v>45721</v>
      </c>
      <c r="C28" t="s">
        <v>22</v>
      </c>
      <c r="D28" t="s">
        <v>20</v>
      </c>
      <c r="E28">
        <v>5509.26</v>
      </c>
      <c r="F28">
        <v>4598.91</v>
      </c>
      <c r="G28" s="6">
        <v>145792</v>
      </c>
      <c r="H28" s="6">
        <v>2973</v>
      </c>
      <c r="I28" s="6">
        <v>495</v>
      </c>
      <c r="J28">
        <v>22717.09</v>
      </c>
      <c r="K28">
        <f t="shared" si="0"/>
        <v>0.0203920654082529</v>
      </c>
      <c r="L28">
        <f t="shared" si="1"/>
        <v>1.54689202825429</v>
      </c>
      <c r="M28">
        <f t="shared" si="2"/>
        <v>9.29072727272727</v>
      </c>
      <c r="N28">
        <f t="shared" si="3"/>
        <v>4.93966831270888</v>
      </c>
      <c r="O28">
        <f t="shared" si="4"/>
        <v>18118.18</v>
      </c>
      <c r="P28">
        <f t="shared" si="5"/>
        <v>0.797557257553674</v>
      </c>
      <c r="Q28" t="str">
        <f t="shared" si="6"/>
        <v>2025-03</v>
      </c>
    </row>
    <row r="29" spans="1:17">
      <c r="A29" t="s">
        <v>46</v>
      </c>
      <c r="B29" s="10">
        <v>45809</v>
      </c>
      <c r="C29" t="s">
        <v>14</v>
      </c>
      <c r="D29" t="s">
        <v>12</v>
      </c>
      <c r="E29">
        <v>7363.09</v>
      </c>
      <c r="F29">
        <v>6621.4</v>
      </c>
      <c r="G29" s="6">
        <v>144942</v>
      </c>
      <c r="H29" s="6">
        <v>5511</v>
      </c>
      <c r="I29" s="6">
        <v>222</v>
      </c>
      <c r="J29">
        <v>4863.3</v>
      </c>
      <c r="K29">
        <f t="shared" si="0"/>
        <v>0.0380221053938817</v>
      </c>
      <c r="L29">
        <f t="shared" si="1"/>
        <v>1.20148793322446</v>
      </c>
      <c r="M29">
        <f t="shared" si="2"/>
        <v>29.8261261261261</v>
      </c>
      <c r="N29">
        <f t="shared" si="3"/>
        <v>0.73448213368774</v>
      </c>
      <c r="O29">
        <f t="shared" si="4"/>
        <v>-1758.1</v>
      </c>
      <c r="P29">
        <f t="shared" si="5"/>
        <v>-0.361503505849937</v>
      </c>
      <c r="Q29" t="str">
        <f t="shared" si="6"/>
        <v>2025-06</v>
      </c>
    </row>
    <row r="30" spans="1:17">
      <c r="A30" t="s">
        <v>47</v>
      </c>
      <c r="B30" s="10">
        <v>45809</v>
      </c>
      <c r="C30" t="s">
        <v>22</v>
      </c>
      <c r="D30" t="s">
        <v>20</v>
      </c>
      <c r="E30">
        <v>5176.88</v>
      </c>
      <c r="F30">
        <v>4646.53</v>
      </c>
      <c r="G30" s="6">
        <v>81620</v>
      </c>
      <c r="H30" s="6">
        <v>3629</v>
      </c>
      <c r="I30" s="6">
        <v>513</v>
      </c>
      <c r="J30">
        <v>21488.64</v>
      </c>
      <c r="K30">
        <f t="shared" si="0"/>
        <v>0.044462141631953</v>
      </c>
      <c r="L30">
        <f t="shared" si="1"/>
        <v>1.28038853678699</v>
      </c>
      <c r="M30">
        <f t="shared" si="2"/>
        <v>9.05756335282651</v>
      </c>
      <c r="N30">
        <f t="shared" si="3"/>
        <v>4.62466399657379</v>
      </c>
      <c r="O30">
        <f t="shared" si="4"/>
        <v>16842.11</v>
      </c>
      <c r="P30">
        <f t="shared" si="5"/>
        <v>0.783768074666429</v>
      </c>
      <c r="Q30" t="str">
        <f t="shared" si="6"/>
        <v>2025-06</v>
      </c>
    </row>
    <row r="31" spans="1:17">
      <c r="A31" t="s">
        <v>48</v>
      </c>
      <c r="B31" s="10">
        <v>45679</v>
      </c>
      <c r="C31" t="s">
        <v>11</v>
      </c>
      <c r="D31" t="s">
        <v>15</v>
      </c>
      <c r="E31">
        <v>7462.9</v>
      </c>
      <c r="F31">
        <v>7956.67</v>
      </c>
      <c r="G31" s="6">
        <v>73683</v>
      </c>
      <c r="H31" s="6">
        <v>2259</v>
      </c>
      <c r="I31" s="6">
        <v>324</v>
      </c>
      <c r="J31">
        <v>11069.93</v>
      </c>
      <c r="K31">
        <f t="shared" si="0"/>
        <v>0.0306583608159277</v>
      </c>
      <c r="L31">
        <f t="shared" si="1"/>
        <v>3.52220894200974</v>
      </c>
      <c r="M31">
        <f t="shared" si="2"/>
        <v>24.5576234567901</v>
      </c>
      <c r="N31">
        <f t="shared" si="3"/>
        <v>1.39127675271188</v>
      </c>
      <c r="O31">
        <f t="shared" si="4"/>
        <v>3113.26</v>
      </c>
      <c r="P31">
        <f t="shared" si="5"/>
        <v>0.281235744038129</v>
      </c>
      <c r="Q31" t="str">
        <f t="shared" si="6"/>
        <v>2025-01</v>
      </c>
    </row>
    <row r="32" spans="1:17">
      <c r="A32" t="s">
        <v>49</v>
      </c>
      <c r="B32" s="10">
        <v>45768</v>
      </c>
      <c r="C32" t="s">
        <v>11</v>
      </c>
      <c r="D32" t="s">
        <v>17</v>
      </c>
      <c r="E32">
        <v>3837.16</v>
      </c>
      <c r="F32">
        <v>3890.78</v>
      </c>
      <c r="G32" s="6">
        <v>69783</v>
      </c>
      <c r="H32" s="6">
        <v>2886</v>
      </c>
      <c r="I32" s="6">
        <v>227</v>
      </c>
      <c r="J32">
        <v>9720.95</v>
      </c>
      <c r="K32">
        <f t="shared" si="0"/>
        <v>0.0413567774386312</v>
      </c>
      <c r="L32">
        <f t="shared" si="1"/>
        <v>1.34815661815662</v>
      </c>
      <c r="M32">
        <f t="shared" si="2"/>
        <v>17.14</v>
      </c>
      <c r="N32">
        <f t="shared" si="3"/>
        <v>2.49845789276186</v>
      </c>
      <c r="O32">
        <f t="shared" si="4"/>
        <v>5830.17</v>
      </c>
      <c r="P32">
        <f t="shared" si="5"/>
        <v>0.599753110549895</v>
      </c>
      <c r="Q32" t="str">
        <f t="shared" si="6"/>
        <v>2025-04</v>
      </c>
    </row>
    <row r="33" spans="1:17">
      <c r="A33" t="s">
        <v>50</v>
      </c>
      <c r="B33" s="10">
        <v>45802</v>
      </c>
      <c r="C33" t="s">
        <v>22</v>
      </c>
      <c r="D33" t="s">
        <v>15</v>
      </c>
      <c r="E33">
        <v>6928.94</v>
      </c>
      <c r="F33">
        <v>7145.75</v>
      </c>
      <c r="G33" s="6">
        <v>154773</v>
      </c>
      <c r="H33" s="6">
        <v>2350</v>
      </c>
      <c r="I33" s="6">
        <v>389</v>
      </c>
      <c r="J33">
        <v>13542.59</v>
      </c>
      <c r="K33">
        <f t="shared" si="0"/>
        <v>0.0151835268425371</v>
      </c>
      <c r="L33">
        <f t="shared" si="1"/>
        <v>3.04074468085106</v>
      </c>
      <c r="M33">
        <f t="shared" si="2"/>
        <v>18.3695372750643</v>
      </c>
      <c r="N33">
        <f t="shared" si="3"/>
        <v>1.89519504600637</v>
      </c>
      <c r="O33">
        <f t="shared" si="4"/>
        <v>6396.84</v>
      </c>
      <c r="P33">
        <f t="shared" si="5"/>
        <v>0.472349823778169</v>
      </c>
      <c r="Q33" t="str">
        <f t="shared" si="6"/>
        <v>2025-05</v>
      </c>
    </row>
    <row r="34" spans="1:17">
      <c r="A34" t="s">
        <v>51</v>
      </c>
      <c r="B34" s="10">
        <v>45711</v>
      </c>
      <c r="C34" t="s">
        <v>24</v>
      </c>
      <c r="D34" t="s">
        <v>12</v>
      </c>
      <c r="E34">
        <v>6659.13</v>
      </c>
      <c r="F34">
        <v>6181.42</v>
      </c>
      <c r="G34" s="6">
        <v>69731</v>
      </c>
      <c r="H34" s="6">
        <v>2872</v>
      </c>
      <c r="I34" s="6">
        <v>455</v>
      </c>
      <c r="J34">
        <v>9446.97</v>
      </c>
      <c r="K34">
        <f t="shared" si="0"/>
        <v>0.0411868465962054</v>
      </c>
      <c r="L34">
        <f t="shared" si="1"/>
        <v>2.15230501392758</v>
      </c>
      <c r="M34">
        <f t="shared" si="2"/>
        <v>13.5855384615385</v>
      </c>
      <c r="N34">
        <f t="shared" si="3"/>
        <v>1.52828476304797</v>
      </c>
      <c r="O34">
        <f t="shared" si="4"/>
        <v>3265.55</v>
      </c>
      <c r="P34">
        <f t="shared" si="5"/>
        <v>0.345671680972841</v>
      </c>
      <c r="Q34" t="str">
        <f t="shared" si="6"/>
        <v>2025-02</v>
      </c>
    </row>
    <row r="35" spans="1:17">
      <c r="A35" t="s">
        <v>52</v>
      </c>
      <c r="B35" s="10">
        <v>45690</v>
      </c>
      <c r="C35" t="s">
        <v>22</v>
      </c>
      <c r="D35" t="s">
        <v>15</v>
      </c>
      <c r="E35">
        <v>3755.24</v>
      </c>
      <c r="F35">
        <v>3039.6</v>
      </c>
      <c r="G35" s="6">
        <v>188839</v>
      </c>
      <c r="H35" s="6">
        <v>7836</v>
      </c>
      <c r="I35" s="6">
        <v>1477</v>
      </c>
      <c r="J35">
        <v>57739.35</v>
      </c>
      <c r="K35">
        <f t="shared" si="0"/>
        <v>0.0414956656199196</v>
      </c>
      <c r="L35">
        <f t="shared" ref="L35:L74" si="7">F35/H35</f>
        <v>0.387901990811639</v>
      </c>
      <c r="M35">
        <f t="shared" si="2"/>
        <v>2.05795531482735</v>
      </c>
      <c r="N35">
        <f t="shared" si="3"/>
        <v>18.9957066719305</v>
      </c>
      <c r="O35">
        <f t="shared" si="4"/>
        <v>54699.75</v>
      </c>
      <c r="P35">
        <f t="shared" si="5"/>
        <v>0.947356525489116</v>
      </c>
      <c r="Q35" t="str">
        <f t="shared" si="6"/>
        <v>2025-02</v>
      </c>
    </row>
    <row r="36" spans="1:17">
      <c r="A36" t="s">
        <v>53</v>
      </c>
      <c r="B36" s="10">
        <v>45653</v>
      </c>
      <c r="C36" t="s">
        <v>19</v>
      </c>
      <c r="D36" t="s">
        <v>17</v>
      </c>
      <c r="E36">
        <v>5200.49</v>
      </c>
      <c r="F36">
        <v>4953.84</v>
      </c>
      <c r="G36" s="6">
        <v>146830</v>
      </c>
      <c r="H36" s="6">
        <v>6778</v>
      </c>
      <c r="I36" s="6">
        <v>787</v>
      </c>
      <c r="J36">
        <v>37167.64</v>
      </c>
      <c r="K36">
        <f t="shared" si="0"/>
        <v>0.0461622284274331</v>
      </c>
      <c r="L36">
        <f t="shared" si="7"/>
        <v>0.7308704632635</v>
      </c>
      <c r="M36">
        <f t="shared" si="2"/>
        <v>6.29458703939009</v>
      </c>
      <c r="N36">
        <f t="shared" si="3"/>
        <v>7.50279379229042</v>
      </c>
      <c r="O36">
        <f t="shared" si="4"/>
        <v>32213.8</v>
      </c>
      <c r="P36">
        <f t="shared" si="5"/>
        <v>0.866716315590659</v>
      </c>
      <c r="Q36" t="str">
        <f t="shared" si="6"/>
        <v>2024-12</v>
      </c>
    </row>
    <row r="37" spans="1:17">
      <c r="A37" t="s">
        <v>54</v>
      </c>
      <c r="B37" s="10">
        <v>45755</v>
      </c>
      <c r="C37" t="s">
        <v>24</v>
      </c>
      <c r="D37" t="s">
        <v>12</v>
      </c>
      <c r="E37">
        <v>4745.05</v>
      </c>
      <c r="F37">
        <v>4380.23</v>
      </c>
      <c r="G37" s="6">
        <v>114426</v>
      </c>
      <c r="H37" s="6">
        <v>4726</v>
      </c>
      <c r="I37" s="6">
        <v>77</v>
      </c>
      <c r="J37">
        <v>3285.32</v>
      </c>
      <c r="K37">
        <f t="shared" si="0"/>
        <v>0.0413018020379984</v>
      </c>
      <c r="L37">
        <f t="shared" si="7"/>
        <v>0.926836648328396</v>
      </c>
      <c r="M37">
        <f t="shared" si="2"/>
        <v>56.8861038961039</v>
      </c>
      <c r="N37">
        <f t="shared" si="3"/>
        <v>0.750033674030816</v>
      </c>
      <c r="O37">
        <f t="shared" si="4"/>
        <v>-1094.91</v>
      </c>
      <c r="P37">
        <f t="shared" si="5"/>
        <v>-0.333273471077399</v>
      </c>
      <c r="Q37" t="str">
        <f t="shared" si="6"/>
        <v>2025-04</v>
      </c>
    </row>
    <row r="38" spans="1:17">
      <c r="A38" t="s">
        <v>55</v>
      </c>
      <c r="B38" s="10">
        <v>45701</v>
      </c>
      <c r="C38" t="s">
        <v>14</v>
      </c>
      <c r="D38" t="s">
        <v>17</v>
      </c>
      <c r="E38">
        <v>4601.59</v>
      </c>
      <c r="F38">
        <v>3787.54</v>
      </c>
      <c r="G38" s="6">
        <v>78896</v>
      </c>
      <c r="H38" s="6">
        <v>1812</v>
      </c>
      <c r="I38" s="6">
        <v>219</v>
      </c>
      <c r="J38">
        <v>6283.67</v>
      </c>
      <c r="K38">
        <f t="shared" si="0"/>
        <v>0.022966943824782</v>
      </c>
      <c r="L38">
        <f t="shared" si="7"/>
        <v>2.09025386313466</v>
      </c>
      <c r="M38">
        <f t="shared" si="2"/>
        <v>17.294703196347</v>
      </c>
      <c r="N38">
        <f t="shared" si="3"/>
        <v>1.65903726429292</v>
      </c>
      <c r="O38">
        <f t="shared" si="4"/>
        <v>2496.13</v>
      </c>
      <c r="P38">
        <f t="shared" si="5"/>
        <v>0.397240784446032</v>
      </c>
      <c r="Q38" t="str">
        <f t="shared" si="6"/>
        <v>2025-02</v>
      </c>
    </row>
    <row r="39" spans="1:17">
      <c r="A39" t="s">
        <v>56</v>
      </c>
      <c r="B39" s="10">
        <v>45759</v>
      </c>
      <c r="C39" t="s">
        <v>19</v>
      </c>
      <c r="D39" t="s">
        <v>20</v>
      </c>
      <c r="E39">
        <v>4128.55</v>
      </c>
      <c r="F39">
        <v>4454.33</v>
      </c>
      <c r="G39" s="6">
        <v>114833</v>
      </c>
      <c r="H39" s="6">
        <v>5099</v>
      </c>
      <c r="I39" s="6">
        <v>70</v>
      </c>
      <c r="J39">
        <v>3097.05</v>
      </c>
      <c r="K39">
        <f t="shared" si="0"/>
        <v>0.0444036122020674</v>
      </c>
      <c r="L39">
        <f t="shared" si="7"/>
        <v>0.873569327319082</v>
      </c>
      <c r="M39">
        <f t="shared" si="2"/>
        <v>63.6332857142857</v>
      </c>
      <c r="N39">
        <f t="shared" si="3"/>
        <v>0.695289751769626</v>
      </c>
      <c r="O39">
        <f t="shared" si="4"/>
        <v>-1357.28</v>
      </c>
      <c r="P39">
        <f t="shared" si="5"/>
        <v>-0.438249301754896</v>
      </c>
      <c r="Q39" t="str">
        <f t="shared" si="6"/>
        <v>2025-04</v>
      </c>
    </row>
    <row r="40" spans="1:17">
      <c r="A40" t="s">
        <v>57</v>
      </c>
      <c r="B40" s="10">
        <v>45722</v>
      </c>
      <c r="C40" t="s">
        <v>14</v>
      </c>
      <c r="D40" t="s">
        <v>17</v>
      </c>
      <c r="E40">
        <v>7433.83</v>
      </c>
      <c r="F40">
        <v>7890.55</v>
      </c>
      <c r="G40" s="6">
        <v>86560</v>
      </c>
      <c r="H40" s="6">
        <v>3682</v>
      </c>
      <c r="I40" s="6">
        <v>609</v>
      </c>
      <c r="J40">
        <v>26863.09</v>
      </c>
      <c r="K40">
        <f t="shared" si="0"/>
        <v>0.0425369685767098</v>
      </c>
      <c r="L40">
        <f t="shared" si="7"/>
        <v>2.14300651819663</v>
      </c>
      <c r="M40">
        <f t="shared" si="2"/>
        <v>12.9565681444992</v>
      </c>
      <c r="N40">
        <f t="shared" si="3"/>
        <v>3.40446356717846</v>
      </c>
      <c r="O40">
        <f t="shared" si="4"/>
        <v>18972.54</v>
      </c>
      <c r="P40">
        <f t="shared" si="5"/>
        <v>0.706267968428055</v>
      </c>
      <c r="Q40" t="str">
        <f t="shared" si="6"/>
        <v>2025-03</v>
      </c>
    </row>
    <row r="41" spans="1:17">
      <c r="A41" t="s">
        <v>58</v>
      </c>
      <c r="B41" s="10">
        <v>45748</v>
      </c>
      <c r="C41" t="s">
        <v>19</v>
      </c>
      <c r="D41" t="s">
        <v>17</v>
      </c>
      <c r="E41">
        <v>4305.99</v>
      </c>
      <c r="F41">
        <v>4597.8</v>
      </c>
      <c r="G41" s="6">
        <v>74753</v>
      </c>
      <c r="H41" s="6">
        <v>1230</v>
      </c>
      <c r="I41" s="6">
        <v>234</v>
      </c>
      <c r="J41">
        <v>8466.18</v>
      </c>
      <c r="K41">
        <f t="shared" si="0"/>
        <v>0.0164541891295333</v>
      </c>
      <c r="L41">
        <f t="shared" si="7"/>
        <v>3.7380487804878</v>
      </c>
      <c r="M41">
        <f t="shared" si="2"/>
        <v>19.6487179487179</v>
      </c>
      <c r="N41">
        <f t="shared" si="3"/>
        <v>1.84135456087694</v>
      </c>
      <c r="O41">
        <f t="shared" si="4"/>
        <v>3868.38</v>
      </c>
      <c r="P41">
        <f t="shared" si="5"/>
        <v>0.456921539584559</v>
      </c>
      <c r="Q41" t="str">
        <f t="shared" si="6"/>
        <v>2025-04</v>
      </c>
    </row>
    <row r="42" spans="1:17">
      <c r="A42" t="s">
        <v>59</v>
      </c>
      <c r="B42" s="10">
        <v>45701</v>
      </c>
      <c r="C42" t="s">
        <v>24</v>
      </c>
      <c r="D42" t="s">
        <v>20</v>
      </c>
      <c r="E42">
        <v>8652.08</v>
      </c>
      <c r="F42">
        <v>9247.58</v>
      </c>
      <c r="G42" s="6">
        <v>177534</v>
      </c>
      <c r="H42" s="6">
        <v>2754</v>
      </c>
      <c r="I42" s="6">
        <v>206</v>
      </c>
      <c r="J42">
        <v>6085.26</v>
      </c>
      <c r="K42">
        <f t="shared" si="0"/>
        <v>0.0155125215451688</v>
      </c>
      <c r="L42">
        <f t="shared" si="7"/>
        <v>3.3578721859114</v>
      </c>
      <c r="M42">
        <f t="shared" si="2"/>
        <v>44.8911650485437</v>
      </c>
      <c r="N42">
        <f t="shared" si="3"/>
        <v>0.658038102941526</v>
      </c>
      <c r="O42">
        <f t="shared" si="4"/>
        <v>-3162.32</v>
      </c>
      <c r="P42">
        <f t="shared" si="5"/>
        <v>-0.519668839129306</v>
      </c>
      <c r="Q42" t="str">
        <f t="shared" si="6"/>
        <v>2025-02</v>
      </c>
    </row>
    <row r="43" spans="1:17">
      <c r="A43" t="s">
        <v>60</v>
      </c>
      <c r="B43" s="10">
        <v>45671</v>
      </c>
      <c r="C43" t="s">
        <v>19</v>
      </c>
      <c r="D43" t="s">
        <v>17</v>
      </c>
      <c r="E43">
        <v>3770.36</v>
      </c>
      <c r="F43">
        <v>3274.11</v>
      </c>
      <c r="G43" s="6">
        <v>179996</v>
      </c>
      <c r="H43" s="6">
        <v>8814</v>
      </c>
      <c r="I43" s="6">
        <v>1350</v>
      </c>
      <c r="J43">
        <v>44297.87</v>
      </c>
      <c r="K43">
        <f t="shared" si="0"/>
        <v>0.0489677548389964</v>
      </c>
      <c r="L43">
        <f t="shared" si="7"/>
        <v>0.371466984343091</v>
      </c>
      <c r="M43">
        <f t="shared" si="2"/>
        <v>2.42526666666667</v>
      </c>
      <c r="N43">
        <f t="shared" si="3"/>
        <v>13.5297439609543</v>
      </c>
      <c r="O43">
        <f t="shared" si="4"/>
        <v>41023.76</v>
      </c>
      <c r="P43">
        <f t="shared" si="5"/>
        <v>0.926088771311126</v>
      </c>
      <c r="Q43" t="str">
        <f t="shared" si="6"/>
        <v>2025-01</v>
      </c>
    </row>
    <row r="44" spans="1:17">
      <c r="A44" t="s">
        <v>61</v>
      </c>
      <c r="B44" s="10">
        <v>45642</v>
      </c>
      <c r="C44" t="s">
        <v>19</v>
      </c>
      <c r="D44" t="s">
        <v>12</v>
      </c>
      <c r="E44">
        <v>8726.1</v>
      </c>
      <c r="F44">
        <v>9234.13</v>
      </c>
      <c r="G44" s="6">
        <v>169629</v>
      </c>
      <c r="H44" s="6">
        <v>5933</v>
      </c>
      <c r="I44" s="6">
        <v>149</v>
      </c>
      <c r="J44">
        <v>3011.08</v>
      </c>
      <c r="K44">
        <f t="shared" si="0"/>
        <v>0.0349763306981707</v>
      </c>
      <c r="L44">
        <f t="shared" si="7"/>
        <v>1.55640148322939</v>
      </c>
      <c r="M44">
        <f t="shared" si="2"/>
        <v>61.9740268456376</v>
      </c>
      <c r="N44">
        <f t="shared" si="3"/>
        <v>0.326081612452933</v>
      </c>
      <c r="O44">
        <f t="shared" si="4"/>
        <v>-6223.05</v>
      </c>
      <c r="P44">
        <f t="shared" si="5"/>
        <v>-2.06671692548853</v>
      </c>
      <c r="Q44" t="str">
        <f t="shared" si="6"/>
        <v>2024-12</v>
      </c>
    </row>
    <row r="45" spans="1:17">
      <c r="A45" t="s">
        <v>62</v>
      </c>
      <c r="B45" s="10">
        <v>45763</v>
      </c>
      <c r="C45" t="s">
        <v>22</v>
      </c>
      <c r="D45" t="s">
        <v>12</v>
      </c>
      <c r="E45">
        <v>6575.23</v>
      </c>
      <c r="F45">
        <v>6083.56</v>
      </c>
      <c r="G45" s="6">
        <v>103534</v>
      </c>
      <c r="H45" s="6">
        <v>3406</v>
      </c>
      <c r="I45" s="6">
        <v>219</v>
      </c>
      <c r="J45">
        <v>5839.25</v>
      </c>
      <c r="K45">
        <f t="shared" si="0"/>
        <v>0.0328974056831572</v>
      </c>
      <c r="L45">
        <f t="shared" si="7"/>
        <v>1.78613035819143</v>
      </c>
      <c r="M45">
        <f t="shared" si="2"/>
        <v>27.7788127853881</v>
      </c>
      <c r="N45">
        <f t="shared" si="3"/>
        <v>0.95984094839206</v>
      </c>
      <c r="O45">
        <f t="shared" si="4"/>
        <v>-244.31</v>
      </c>
      <c r="P45">
        <f t="shared" si="5"/>
        <v>-0.0418392773044484</v>
      </c>
      <c r="Q45" t="str">
        <f t="shared" si="6"/>
        <v>2025-04</v>
      </c>
    </row>
    <row r="46" spans="1:17">
      <c r="A46" t="s">
        <v>63</v>
      </c>
      <c r="B46" s="10">
        <v>45785</v>
      </c>
      <c r="C46" t="s">
        <v>19</v>
      </c>
      <c r="D46" t="s">
        <v>15</v>
      </c>
      <c r="E46">
        <v>3839.06</v>
      </c>
      <c r="F46">
        <v>3460.09</v>
      </c>
      <c r="G46" s="6">
        <v>157185</v>
      </c>
      <c r="H46" s="6">
        <v>1409</v>
      </c>
      <c r="I46" s="6">
        <v>97</v>
      </c>
      <c r="J46">
        <v>4683.87</v>
      </c>
      <c r="K46">
        <f t="shared" si="0"/>
        <v>0.00896395966536247</v>
      </c>
      <c r="L46">
        <f t="shared" si="7"/>
        <v>2.45570617459191</v>
      </c>
      <c r="M46">
        <f t="shared" si="2"/>
        <v>35.6710309278351</v>
      </c>
      <c r="N46">
        <f t="shared" si="3"/>
        <v>1.35368444173417</v>
      </c>
      <c r="O46">
        <f t="shared" si="4"/>
        <v>1223.78</v>
      </c>
      <c r="P46">
        <f t="shared" si="5"/>
        <v>0.261275398335137</v>
      </c>
      <c r="Q46" t="str">
        <f t="shared" si="6"/>
        <v>2025-05</v>
      </c>
    </row>
    <row r="47" spans="1:17">
      <c r="A47" t="s">
        <v>64</v>
      </c>
      <c r="B47" s="10">
        <v>45797</v>
      </c>
      <c r="C47" t="s">
        <v>19</v>
      </c>
      <c r="D47" t="s">
        <v>15</v>
      </c>
      <c r="E47">
        <v>5262.42</v>
      </c>
      <c r="F47">
        <v>5028.96</v>
      </c>
      <c r="G47" s="6">
        <v>114793</v>
      </c>
      <c r="H47" s="6">
        <v>4639</v>
      </c>
      <c r="I47" s="6">
        <v>463</v>
      </c>
      <c r="J47">
        <v>19024.93</v>
      </c>
      <c r="K47">
        <f t="shared" si="0"/>
        <v>0.0404118718040299</v>
      </c>
      <c r="L47">
        <f t="shared" si="7"/>
        <v>1.08406122009054</v>
      </c>
      <c r="M47">
        <f t="shared" si="2"/>
        <v>10.8616846652268</v>
      </c>
      <c r="N47">
        <f t="shared" si="3"/>
        <v>3.78307443288473</v>
      </c>
      <c r="O47">
        <f t="shared" si="4"/>
        <v>13995.97</v>
      </c>
      <c r="P47">
        <f t="shared" si="5"/>
        <v>0.735664730435276</v>
      </c>
      <c r="Q47" t="str">
        <f t="shared" si="6"/>
        <v>2025-05</v>
      </c>
    </row>
    <row r="48" spans="1:17">
      <c r="A48" t="s">
        <v>65</v>
      </c>
      <c r="B48" s="10">
        <v>45662</v>
      </c>
      <c r="C48" t="s">
        <v>11</v>
      </c>
      <c r="D48" t="s">
        <v>20</v>
      </c>
      <c r="E48">
        <v>5545.41</v>
      </c>
      <c r="F48">
        <v>6053.01</v>
      </c>
      <c r="G48" s="6">
        <v>175219</v>
      </c>
      <c r="H48" s="6">
        <v>4802</v>
      </c>
      <c r="I48" s="6">
        <v>292</v>
      </c>
      <c r="J48">
        <v>14271.04</v>
      </c>
      <c r="K48">
        <f t="shared" si="0"/>
        <v>0.0274057037193455</v>
      </c>
      <c r="L48">
        <f t="shared" si="7"/>
        <v>1.26051853394419</v>
      </c>
      <c r="M48">
        <f t="shared" si="2"/>
        <v>20.7294863013699</v>
      </c>
      <c r="N48">
        <f t="shared" si="3"/>
        <v>2.35767659395904</v>
      </c>
      <c r="O48">
        <f t="shared" si="4"/>
        <v>8218.03</v>
      </c>
      <c r="P48">
        <f t="shared" si="5"/>
        <v>0.575853616835213</v>
      </c>
      <c r="Q48" t="str">
        <f t="shared" si="6"/>
        <v>2025-01</v>
      </c>
    </row>
    <row r="49" spans="1:17">
      <c r="A49" t="s">
        <v>66</v>
      </c>
      <c r="B49" s="10">
        <v>45726</v>
      </c>
      <c r="C49" t="s">
        <v>19</v>
      </c>
      <c r="D49" t="s">
        <v>17</v>
      </c>
      <c r="E49">
        <v>4762.48</v>
      </c>
      <c r="F49">
        <v>4520.42</v>
      </c>
      <c r="G49" s="6">
        <v>100064</v>
      </c>
      <c r="H49" s="6">
        <v>1424</v>
      </c>
      <c r="I49" s="6">
        <v>261</v>
      </c>
      <c r="J49">
        <v>7575.88</v>
      </c>
      <c r="K49">
        <f t="shared" si="0"/>
        <v>0.0142308922289735</v>
      </c>
      <c r="L49">
        <f t="shared" si="7"/>
        <v>3.17445224719101</v>
      </c>
      <c r="M49">
        <f t="shared" si="2"/>
        <v>17.3196168582375</v>
      </c>
      <c r="N49">
        <f t="shared" si="3"/>
        <v>1.67592391857394</v>
      </c>
      <c r="O49">
        <f t="shared" si="4"/>
        <v>3055.46</v>
      </c>
      <c r="P49">
        <f t="shared" si="5"/>
        <v>0.403314202442489</v>
      </c>
      <c r="Q49" t="str">
        <f t="shared" si="6"/>
        <v>2025-03</v>
      </c>
    </row>
    <row r="50" spans="1:17">
      <c r="A50" t="s">
        <v>67</v>
      </c>
      <c r="B50" s="10">
        <v>45693</v>
      </c>
      <c r="C50" t="s">
        <v>14</v>
      </c>
      <c r="D50" t="s">
        <v>17</v>
      </c>
      <c r="E50">
        <v>4993.88</v>
      </c>
      <c r="F50">
        <v>4050.37</v>
      </c>
      <c r="G50" s="6">
        <v>61208</v>
      </c>
      <c r="H50" s="6">
        <v>3037</v>
      </c>
      <c r="I50" s="6">
        <v>504</v>
      </c>
      <c r="J50">
        <v>19296.61</v>
      </c>
      <c r="K50">
        <f t="shared" si="0"/>
        <v>0.0496176970330676</v>
      </c>
      <c r="L50">
        <f t="shared" si="7"/>
        <v>1.3336746789595</v>
      </c>
      <c r="M50">
        <f t="shared" si="2"/>
        <v>8.03644841269841</v>
      </c>
      <c r="N50">
        <f t="shared" si="3"/>
        <v>4.76415981749815</v>
      </c>
      <c r="O50">
        <f t="shared" si="4"/>
        <v>15246.24</v>
      </c>
      <c r="P50">
        <f t="shared" si="5"/>
        <v>0.790099400879222</v>
      </c>
      <c r="Q50" t="str">
        <f t="shared" si="6"/>
        <v>2025-02</v>
      </c>
    </row>
    <row r="51" spans="1:17">
      <c r="A51" t="s">
        <v>68</v>
      </c>
      <c r="B51" s="10">
        <v>45806</v>
      </c>
      <c r="C51" t="s">
        <v>22</v>
      </c>
      <c r="D51" t="s">
        <v>17</v>
      </c>
      <c r="E51">
        <v>6518.75</v>
      </c>
      <c r="F51">
        <v>5315.67</v>
      </c>
      <c r="G51" s="6">
        <v>64306</v>
      </c>
      <c r="H51" s="6">
        <v>2956</v>
      </c>
      <c r="I51" s="6">
        <v>50</v>
      </c>
      <c r="J51">
        <v>1417.97</v>
      </c>
      <c r="K51">
        <f t="shared" si="0"/>
        <v>0.0459677168537928</v>
      </c>
      <c r="L51">
        <f t="shared" si="7"/>
        <v>1.79826454668471</v>
      </c>
      <c r="M51">
        <f t="shared" si="2"/>
        <v>106.3134</v>
      </c>
      <c r="N51">
        <f t="shared" si="3"/>
        <v>0.266752827018984</v>
      </c>
      <c r="O51">
        <f t="shared" si="4"/>
        <v>-3897.7</v>
      </c>
      <c r="P51">
        <f t="shared" si="5"/>
        <v>-2.74878876139834</v>
      </c>
      <c r="Q51" t="str">
        <f t="shared" si="6"/>
        <v>2025-05</v>
      </c>
    </row>
    <row r="52" spans="1:17">
      <c r="A52" t="s">
        <v>69</v>
      </c>
      <c r="B52" s="10">
        <v>45780</v>
      </c>
      <c r="C52" t="s">
        <v>22</v>
      </c>
      <c r="D52" t="s">
        <v>15</v>
      </c>
      <c r="E52">
        <v>9357.86</v>
      </c>
      <c r="F52">
        <v>8158.82</v>
      </c>
      <c r="G52" s="6">
        <v>160805</v>
      </c>
      <c r="H52" s="6">
        <v>1964</v>
      </c>
      <c r="I52" s="6">
        <v>323</v>
      </c>
      <c r="J52">
        <v>7864.03</v>
      </c>
      <c r="K52">
        <f t="shared" si="0"/>
        <v>0.0122135505736762</v>
      </c>
      <c r="L52">
        <f t="shared" si="7"/>
        <v>4.15418533604888</v>
      </c>
      <c r="M52">
        <f t="shared" si="2"/>
        <v>25.2595046439628</v>
      </c>
      <c r="N52">
        <f t="shared" si="3"/>
        <v>0.963868549618695</v>
      </c>
      <c r="O52">
        <f t="shared" si="4"/>
        <v>-294.79</v>
      </c>
      <c r="P52">
        <f t="shared" si="5"/>
        <v>-0.0374858692044664</v>
      </c>
      <c r="Q52" t="str">
        <f t="shared" si="6"/>
        <v>2025-05</v>
      </c>
    </row>
    <row r="53" spans="1:17">
      <c r="A53" t="s">
        <v>70</v>
      </c>
      <c r="B53" s="10">
        <v>45727</v>
      </c>
      <c r="C53" t="s">
        <v>19</v>
      </c>
      <c r="D53" t="s">
        <v>15</v>
      </c>
      <c r="E53">
        <v>6426.17</v>
      </c>
      <c r="F53">
        <v>7041.12</v>
      </c>
      <c r="G53" s="6">
        <v>169372</v>
      </c>
      <c r="H53" s="6">
        <v>2478</v>
      </c>
      <c r="I53" s="6">
        <v>264</v>
      </c>
      <c r="J53">
        <v>7197.08</v>
      </c>
      <c r="K53">
        <f t="shared" si="0"/>
        <v>0.0146305174408993</v>
      </c>
      <c r="L53">
        <f t="shared" si="7"/>
        <v>2.84145278450363</v>
      </c>
      <c r="M53">
        <f t="shared" si="2"/>
        <v>26.6709090909091</v>
      </c>
      <c r="N53">
        <f t="shared" si="3"/>
        <v>1.02214988524553</v>
      </c>
      <c r="O53">
        <f t="shared" si="4"/>
        <v>155.96</v>
      </c>
      <c r="P53">
        <f t="shared" si="5"/>
        <v>0.0216698994592251</v>
      </c>
      <c r="Q53" t="str">
        <f t="shared" si="6"/>
        <v>2025-03</v>
      </c>
    </row>
    <row r="54" spans="1:17">
      <c r="A54" t="s">
        <v>71</v>
      </c>
      <c r="B54" s="10">
        <v>45667</v>
      </c>
      <c r="C54" t="s">
        <v>14</v>
      </c>
      <c r="D54" t="s">
        <v>15</v>
      </c>
      <c r="E54">
        <v>7704.95</v>
      </c>
      <c r="F54">
        <v>7924.43</v>
      </c>
      <c r="G54" s="6">
        <v>77537</v>
      </c>
      <c r="H54" s="6">
        <v>3060</v>
      </c>
      <c r="I54" s="6">
        <v>221</v>
      </c>
      <c r="J54">
        <v>5995.54</v>
      </c>
      <c r="K54">
        <f t="shared" si="0"/>
        <v>0.0394650295987722</v>
      </c>
      <c r="L54">
        <f t="shared" si="7"/>
        <v>2.58968300653595</v>
      </c>
      <c r="M54">
        <f t="shared" si="2"/>
        <v>35.857149321267</v>
      </c>
      <c r="N54">
        <f t="shared" si="3"/>
        <v>0.756589432930823</v>
      </c>
      <c r="O54">
        <f t="shared" si="4"/>
        <v>-1928.89</v>
      </c>
      <c r="P54">
        <f t="shared" si="5"/>
        <v>-0.321720812470603</v>
      </c>
      <c r="Q54" t="str">
        <f t="shared" si="6"/>
        <v>2025-01</v>
      </c>
    </row>
    <row r="55" spans="1:17">
      <c r="A55" t="s">
        <v>72</v>
      </c>
      <c r="B55" s="10">
        <v>45682</v>
      </c>
      <c r="C55" t="s">
        <v>19</v>
      </c>
      <c r="D55" t="s">
        <v>12</v>
      </c>
      <c r="E55">
        <v>8097.51</v>
      </c>
      <c r="F55">
        <v>7371.45</v>
      </c>
      <c r="G55" s="6">
        <v>111631</v>
      </c>
      <c r="H55" s="6">
        <v>2469</v>
      </c>
      <c r="I55" s="6">
        <v>139</v>
      </c>
      <c r="J55">
        <v>5416.72</v>
      </c>
      <c r="K55">
        <f t="shared" si="0"/>
        <v>0.0221175121606005</v>
      </c>
      <c r="L55">
        <f t="shared" si="7"/>
        <v>2.98560145808019</v>
      </c>
      <c r="M55">
        <f t="shared" si="2"/>
        <v>53.0320143884892</v>
      </c>
      <c r="N55">
        <f t="shared" si="3"/>
        <v>0.734824220472227</v>
      </c>
      <c r="O55">
        <f t="shared" si="4"/>
        <v>-1954.73</v>
      </c>
      <c r="P55">
        <f t="shared" si="5"/>
        <v>-0.360869677590867</v>
      </c>
      <c r="Q55" t="str">
        <f t="shared" si="6"/>
        <v>2025-01</v>
      </c>
    </row>
    <row r="56" spans="1:17">
      <c r="A56" t="s">
        <v>73</v>
      </c>
      <c r="B56" s="10">
        <v>45674</v>
      </c>
      <c r="C56" t="s">
        <v>11</v>
      </c>
      <c r="D56" t="s">
        <v>12</v>
      </c>
      <c r="E56">
        <v>7434.71</v>
      </c>
      <c r="F56">
        <v>7142.77</v>
      </c>
      <c r="G56" s="6">
        <v>102718</v>
      </c>
      <c r="H56" s="6">
        <v>2206</v>
      </c>
      <c r="I56" s="6">
        <v>152</v>
      </c>
      <c r="J56">
        <v>3451.72</v>
      </c>
      <c r="K56">
        <f t="shared" si="0"/>
        <v>0.0214762748495882</v>
      </c>
      <c r="L56">
        <f t="shared" si="7"/>
        <v>3.23788304623753</v>
      </c>
      <c r="M56">
        <f t="shared" si="2"/>
        <v>46.9919078947368</v>
      </c>
      <c r="N56">
        <f t="shared" si="3"/>
        <v>0.483246695609686</v>
      </c>
      <c r="O56">
        <f t="shared" si="4"/>
        <v>-3691.05</v>
      </c>
      <c r="P56">
        <f t="shared" si="5"/>
        <v>-1.06933644675698</v>
      </c>
      <c r="Q56" t="str">
        <f t="shared" si="6"/>
        <v>2025-01</v>
      </c>
    </row>
    <row r="57" spans="1:17">
      <c r="A57" t="s">
        <v>74</v>
      </c>
      <c r="B57" s="10">
        <v>45684</v>
      </c>
      <c r="C57" t="s">
        <v>22</v>
      </c>
      <c r="D57" t="s">
        <v>12</v>
      </c>
      <c r="E57">
        <v>8847.12</v>
      </c>
      <c r="F57">
        <v>7929.09</v>
      </c>
      <c r="G57" s="6">
        <v>79647</v>
      </c>
      <c r="H57" s="6">
        <v>2287</v>
      </c>
      <c r="I57" s="6">
        <v>311</v>
      </c>
      <c r="J57">
        <v>7960.22</v>
      </c>
      <c r="K57">
        <f t="shared" si="0"/>
        <v>0.0287142014137381</v>
      </c>
      <c r="L57">
        <f t="shared" si="7"/>
        <v>3.46702667249672</v>
      </c>
      <c r="M57">
        <f t="shared" si="2"/>
        <v>25.4954662379421</v>
      </c>
      <c r="N57">
        <f t="shared" si="3"/>
        <v>1.00392604952145</v>
      </c>
      <c r="O57">
        <f t="shared" si="4"/>
        <v>31.1300000000001</v>
      </c>
      <c r="P57">
        <f t="shared" si="5"/>
        <v>0.00391069593553948</v>
      </c>
      <c r="Q57" t="str">
        <f t="shared" si="6"/>
        <v>2025-01</v>
      </c>
    </row>
    <row r="58" spans="1:17">
      <c r="A58" t="s">
        <v>75</v>
      </c>
      <c r="B58" s="10">
        <v>45704</v>
      </c>
      <c r="C58" t="s">
        <v>14</v>
      </c>
      <c r="D58" t="s">
        <v>17</v>
      </c>
      <c r="E58">
        <v>3285.43</v>
      </c>
      <c r="F58">
        <v>3210.75</v>
      </c>
      <c r="G58" s="6">
        <v>155333</v>
      </c>
      <c r="H58" s="6">
        <v>2501</v>
      </c>
      <c r="I58" s="6">
        <v>402</v>
      </c>
      <c r="J58">
        <v>16211.43</v>
      </c>
      <c r="K58">
        <f t="shared" si="0"/>
        <v>0.0161008929203711</v>
      </c>
      <c r="L58">
        <f t="shared" si="7"/>
        <v>1.28378648540584</v>
      </c>
      <c r="M58">
        <f t="shared" si="2"/>
        <v>7.98694029850746</v>
      </c>
      <c r="N58">
        <f t="shared" si="3"/>
        <v>5.04911002102313</v>
      </c>
      <c r="O58">
        <f t="shared" si="4"/>
        <v>13000.68</v>
      </c>
      <c r="P58">
        <f t="shared" si="5"/>
        <v>0.801945294153569</v>
      </c>
      <c r="Q58" t="str">
        <f t="shared" si="6"/>
        <v>2025-02</v>
      </c>
    </row>
    <row r="59" spans="1:17">
      <c r="A59" t="s">
        <v>76</v>
      </c>
      <c r="B59" s="10">
        <v>45772</v>
      </c>
      <c r="C59" t="s">
        <v>22</v>
      </c>
      <c r="D59" t="s">
        <v>12</v>
      </c>
      <c r="E59">
        <v>3116.11</v>
      </c>
      <c r="F59">
        <v>2971.61</v>
      </c>
      <c r="G59" s="6">
        <v>81389</v>
      </c>
      <c r="H59" s="6">
        <v>3140</v>
      </c>
      <c r="I59" s="6">
        <v>392</v>
      </c>
      <c r="J59">
        <v>10503.59</v>
      </c>
      <c r="K59">
        <f t="shared" si="0"/>
        <v>0.0385801521090074</v>
      </c>
      <c r="L59">
        <f t="shared" si="7"/>
        <v>0.946372611464968</v>
      </c>
      <c r="M59">
        <f t="shared" si="2"/>
        <v>7.58063775510204</v>
      </c>
      <c r="N59">
        <f t="shared" si="3"/>
        <v>3.53464620189056</v>
      </c>
      <c r="O59">
        <f t="shared" si="4"/>
        <v>7531.98</v>
      </c>
      <c r="P59">
        <f t="shared" si="5"/>
        <v>0.717086253366706</v>
      </c>
      <c r="Q59" t="str">
        <f t="shared" si="6"/>
        <v>2025-04</v>
      </c>
    </row>
    <row r="60" spans="1:17">
      <c r="A60" t="s">
        <v>77</v>
      </c>
      <c r="B60" s="10">
        <v>45769</v>
      </c>
      <c r="C60" t="s">
        <v>24</v>
      </c>
      <c r="D60" t="s">
        <v>17</v>
      </c>
      <c r="E60">
        <v>7516.21</v>
      </c>
      <c r="F60">
        <v>6406.14</v>
      </c>
      <c r="G60" s="6">
        <v>146743</v>
      </c>
      <c r="H60" s="6">
        <v>3193</v>
      </c>
      <c r="I60" s="6">
        <v>385</v>
      </c>
      <c r="J60">
        <v>15680.33</v>
      </c>
      <c r="K60">
        <f t="shared" si="0"/>
        <v>0.0217591299073891</v>
      </c>
      <c r="L60">
        <f t="shared" si="7"/>
        <v>2.00630754776073</v>
      </c>
      <c r="M60">
        <f t="shared" si="2"/>
        <v>16.6393246753247</v>
      </c>
      <c r="N60">
        <f t="shared" si="3"/>
        <v>2.4477032971493</v>
      </c>
      <c r="O60">
        <f t="shared" si="4"/>
        <v>9274.19</v>
      </c>
      <c r="P60">
        <f t="shared" si="5"/>
        <v>0.591453751292224</v>
      </c>
      <c r="Q60" t="str">
        <f t="shared" si="6"/>
        <v>2025-04</v>
      </c>
    </row>
    <row r="61" spans="1:17">
      <c r="A61" t="s">
        <v>78</v>
      </c>
      <c r="B61" s="10">
        <v>45747</v>
      </c>
      <c r="C61" t="s">
        <v>22</v>
      </c>
      <c r="D61" t="s">
        <v>17</v>
      </c>
      <c r="E61">
        <v>5707.15</v>
      </c>
      <c r="F61">
        <v>6169.54</v>
      </c>
      <c r="G61" s="6">
        <v>121778</v>
      </c>
      <c r="H61" s="6">
        <v>2381</v>
      </c>
      <c r="I61" s="6">
        <v>316</v>
      </c>
      <c r="J61">
        <v>7623.7</v>
      </c>
      <c r="K61">
        <f t="shared" si="0"/>
        <v>0.0195519716204897</v>
      </c>
      <c r="L61">
        <f t="shared" si="7"/>
        <v>2.59115497690046</v>
      </c>
      <c r="M61">
        <f t="shared" si="2"/>
        <v>19.5238607594937</v>
      </c>
      <c r="N61">
        <f t="shared" si="3"/>
        <v>1.23569990631392</v>
      </c>
      <c r="O61">
        <f t="shared" si="4"/>
        <v>1454.16</v>
      </c>
      <c r="P61">
        <f t="shared" si="5"/>
        <v>0.190742028149061</v>
      </c>
      <c r="Q61" t="str">
        <f t="shared" si="6"/>
        <v>2025-03</v>
      </c>
    </row>
    <row r="62" spans="1:17">
      <c r="A62" t="s">
        <v>79</v>
      </c>
      <c r="B62" s="10">
        <v>45645</v>
      </c>
      <c r="C62" t="s">
        <v>14</v>
      </c>
      <c r="D62" t="s">
        <v>12</v>
      </c>
      <c r="E62">
        <v>5387.46</v>
      </c>
      <c r="F62">
        <v>4493.37</v>
      </c>
      <c r="G62" s="6">
        <v>145652</v>
      </c>
      <c r="H62" s="6">
        <v>3086</v>
      </c>
      <c r="I62" s="6">
        <v>536</v>
      </c>
      <c r="J62">
        <v>25589.07</v>
      </c>
      <c r="K62">
        <f t="shared" si="0"/>
        <v>0.0211874879850603</v>
      </c>
      <c r="L62">
        <f t="shared" si="7"/>
        <v>1.45604990278678</v>
      </c>
      <c r="M62">
        <f t="shared" si="2"/>
        <v>8.38315298507463</v>
      </c>
      <c r="N62">
        <f t="shared" si="3"/>
        <v>5.69485041294173</v>
      </c>
      <c r="O62">
        <f t="shared" si="4"/>
        <v>21095.7</v>
      </c>
      <c r="P62">
        <f t="shared" si="5"/>
        <v>0.824402762585745</v>
      </c>
      <c r="Q62" t="str">
        <f t="shared" si="6"/>
        <v>2024-12</v>
      </c>
    </row>
    <row r="63" spans="1:17">
      <c r="A63" t="s">
        <v>80</v>
      </c>
      <c r="B63" s="10">
        <v>45710</v>
      </c>
      <c r="C63" t="s">
        <v>14</v>
      </c>
      <c r="D63" t="s">
        <v>15</v>
      </c>
      <c r="E63">
        <v>9141.38</v>
      </c>
      <c r="F63">
        <v>8020.49</v>
      </c>
      <c r="G63" s="6">
        <v>80391</v>
      </c>
      <c r="H63" s="6">
        <v>1900</v>
      </c>
      <c r="I63" s="6">
        <v>189</v>
      </c>
      <c r="J63">
        <v>7522.11</v>
      </c>
      <c r="K63">
        <f t="shared" si="0"/>
        <v>0.0236344864474879</v>
      </c>
      <c r="L63">
        <f t="shared" si="7"/>
        <v>4.22131052631579</v>
      </c>
      <c r="M63">
        <f t="shared" si="2"/>
        <v>42.436455026455</v>
      </c>
      <c r="N63">
        <f t="shared" si="3"/>
        <v>0.937861651844214</v>
      </c>
      <c r="O63">
        <f t="shared" si="4"/>
        <v>-498.38</v>
      </c>
      <c r="P63">
        <f t="shared" si="5"/>
        <v>-0.066255345906933</v>
      </c>
      <c r="Q63" t="str">
        <f t="shared" si="6"/>
        <v>2025-02</v>
      </c>
    </row>
    <row r="64" spans="1:17">
      <c r="A64" t="s">
        <v>81</v>
      </c>
      <c r="B64" s="10">
        <v>45717</v>
      </c>
      <c r="C64" t="s">
        <v>19</v>
      </c>
      <c r="D64" t="s">
        <v>12</v>
      </c>
      <c r="E64">
        <v>8720.56</v>
      </c>
      <c r="F64">
        <v>8428.95</v>
      </c>
      <c r="G64" s="6">
        <v>136864</v>
      </c>
      <c r="H64" s="6">
        <v>3696</v>
      </c>
      <c r="I64" s="6">
        <v>599</v>
      </c>
      <c r="J64">
        <v>21497.82</v>
      </c>
      <c r="K64">
        <f t="shared" si="0"/>
        <v>0.0270049099836334</v>
      </c>
      <c r="L64">
        <f t="shared" si="7"/>
        <v>2.28056006493507</v>
      </c>
      <c r="M64">
        <f t="shared" si="2"/>
        <v>14.0717028380634</v>
      </c>
      <c r="N64">
        <f t="shared" si="3"/>
        <v>2.55047425835958</v>
      </c>
      <c r="O64">
        <f t="shared" si="4"/>
        <v>13068.87</v>
      </c>
      <c r="P64">
        <f t="shared" si="5"/>
        <v>0.607916058465463</v>
      </c>
      <c r="Q64" t="str">
        <f t="shared" si="6"/>
        <v>2025-03</v>
      </c>
    </row>
    <row r="65" spans="1:17">
      <c r="A65" t="s">
        <v>82</v>
      </c>
      <c r="B65" s="10">
        <v>45805</v>
      </c>
      <c r="C65" t="s">
        <v>19</v>
      </c>
      <c r="D65" t="s">
        <v>15</v>
      </c>
      <c r="E65">
        <v>4692.97</v>
      </c>
      <c r="F65">
        <v>3885.45</v>
      </c>
      <c r="G65" s="6">
        <v>135649</v>
      </c>
      <c r="H65" s="6">
        <v>5567</v>
      </c>
      <c r="I65" s="6">
        <v>914</v>
      </c>
      <c r="J65">
        <v>42881.66</v>
      </c>
      <c r="K65">
        <f t="shared" si="0"/>
        <v>0.0410397422760212</v>
      </c>
      <c r="L65">
        <f t="shared" si="7"/>
        <v>0.69794323693192</v>
      </c>
      <c r="M65">
        <f t="shared" si="2"/>
        <v>4.25103938730853</v>
      </c>
      <c r="N65">
        <f t="shared" si="3"/>
        <v>11.0364719659242</v>
      </c>
      <c r="O65">
        <f t="shared" si="4"/>
        <v>38996.21</v>
      </c>
      <c r="P65">
        <f t="shared" si="5"/>
        <v>0.909391334197417</v>
      </c>
      <c r="Q65" t="str">
        <f t="shared" si="6"/>
        <v>2025-05</v>
      </c>
    </row>
    <row r="66" spans="1:17">
      <c r="A66" t="s">
        <v>83</v>
      </c>
      <c r="B66" s="10">
        <v>45734</v>
      </c>
      <c r="C66" t="s">
        <v>22</v>
      </c>
      <c r="D66" t="s">
        <v>17</v>
      </c>
      <c r="E66">
        <v>9302.93</v>
      </c>
      <c r="F66">
        <v>9209.25</v>
      </c>
      <c r="G66" s="6">
        <v>75522</v>
      </c>
      <c r="H66" s="6">
        <v>1938</v>
      </c>
      <c r="I66" s="6">
        <v>231</v>
      </c>
      <c r="J66">
        <v>6969.48</v>
      </c>
      <c r="K66">
        <f t="shared" si="0"/>
        <v>0.0256613966791134</v>
      </c>
      <c r="L66">
        <f t="shared" si="7"/>
        <v>4.75193498452012</v>
      </c>
      <c r="M66">
        <f t="shared" si="2"/>
        <v>39.8668831168831</v>
      </c>
      <c r="N66">
        <f t="shared" si="3"/>
        <v>0.756791269647365</v>
      </c>
      <c r="O66">
        <f t="shared" si="4"/>
        <v>-2239.77</v>
      </c>
      <c r="P66">
        <f t="shared" si="5"/>
        <v>-0.321368308683001</v>
      </c>
      <c r="Q66" t="str">
        <f t="shared" si="6"/>
        <v>2025-03</v>
      </c>
    </row>
    <row r="67" spans="1:17">
      <c r="A67" t="s">
        <v>84</v>
      </c>
      <c r="B67" s="10">
        <v>45654</v>
      </c>
      <c r="C67" t="s">
        <v>22</v>
      </c>
      <c r="D67" t="s">
        <v>17</v>
      </c>
      <c r="E67">
        <v>5444.47</v>
      </c>
      <c r="F67">
        <v>5541.31</v>
      </c>
      <c r="G67" s="6">
        <v>180933</v>
      </c>
      <c r="H67" s="6">
        <v>2435</v>
      </c>
      <c r="I67" s="6">
        <v>256</v>
      </c>
      <c r="J67">
        <v>12009.81</v>
      </c>
      <c r="K67">
        <f t="shared" ref="K67:K130" si="8">H67/G67</f>
        <v>0.013458020372182</v>
      </c>
      <c r="L67">
        <f t="shared" si="7"/>
        <v>2.27569199178645</v>
      </c>
      <c r="M67">
        <f t="shared" ref="M67:M130" si="9">F67/I67</f>
        <v>21.6457421875</v>
      </c>
      <c r="N67">
        <f t="shared" ref="N67:N130" si="10">J67/F67</f>
        <v>2.16732325027836</v>
      </c>
      <c r="O67">
        <f t="shared" ref="O67:O130" si="11">J67-F67</f>
        <v>6468.5</v>
      </c>
      <c r="P67">
        <f t="shared" ref="P67:P130" si="12">O67/J67</f>
        <v>0.538601360054822</v>
      </c>
      <c r="Q67" t="str">
        <f t="shared" ref="Q67:Q130" si="13">TEXT(B67,"yyyy-mm")</f>
        <v>2024-12</v>
      </c>
    </row>
    <row r="68" spans="1:17">
      <c r="A68" t="s">
        <v>85</v>
      </c>
      <c r="B68" s="10">
        <v>45757</v>
      </c>
      <c r="C68" t="s">
        <v>24</v>
      </c>
      <c r="D68" t="s">
        <v>15</v>
      </c>
      <c r="E68">
        <v>9209.6</v>
      </c>
      <c r="F68">
        <v>9522.38</v>
      </c>
      <c r="G68" s="6">
        <v>130681</v>
      </c>
      <c r="H68" s="6">
        <v>5935</v>
      </c>
      <c r="I68" s="6">
        <v>667</v>
      </c>
      <c r="J68">
        <v>26187.05</v>
      </c>
      <c r="K68">
        <f t="shared" si="8"/>
        <v>0.0454159365171678</v>
      </c>
      <c r="L68">
        <f t="shared" si="7"/>
        <v>1.6044448188711</v>
      </c>
      <c r="M68">
        <f t="shared" si="9"/>
        <v>14.2764317841079</v>
      </c>
      <c r="N68">
        <f t="shared" si="10"/>
        <v>2.75005303296025</v>
      </c>
      <c r="O68">
        <f t="shared" si="11"/>
        <v>16664.67</v>
      </c>
      <c r="P68">
        <f t="shared" si="12"/>
        <v>0.636370648851245</v>
      </c>
      <c r="Q68" t="str">
        <f t="shared" si="13"/>
        <v>2025-04</v>
      </c>
    </row>
    <row r="69" spans="1:17">
      <c r="A69" t="s">
        <v>86</v>
      </c>
      <c r="B69" s="10">
        <v>45687</v>
      </c>
      <c r="C69" t="s">
        <v>14</v>
      </c>
      <c r="D69" t="s">
        <v>15</v>
      </c>
      <c r="E69">
        <v>3588.98</v>
      </c>
      <c r="F69">
        <v>3045.21</v>
      </c>
      <c r="G69" s="6">
        <v>162389</v>
      </c>
      <c r="H69" s="6">
        <v>4500</v>
      </c>
      <c r="I69" s="6">
        <v>742</v>
      </c>
      <c r="J69">
        <v>34841.82</v>
      </c>
      <c r="K69">
        <f t="shared" si="8"/>
        <v>0.0277112365985381</v>
      </c>
      <c r="L69">
        <f t="shared" si="7"/>
        <v>0.676713333333333</v>
      </c>
      <c r="M69">
        <f t="shared" si="9"/>
        <v>4.10405660377358</v>
      </c>
      <c r="N69">
        <f t="shared" si="10"/>
        <v>11.4415163486262</v>
      </c>
      <c r="O69">
        <f t="shared" si="11"/>
        <v>31796.61</v>
      </c>
      <c r="P69">
        <f t="shared" si="12"/>
        <v>0.912598997411731</v>
      </c>
      <c r="Q69" t="str">
        <f t="shared" si="13"/>
        <v>2025-01</v>
      </c>
    </row>
    <row r="70" spans="1:17">
      <c r="A70" t="s">
        <v>87</v>
      </c>
      <c r="B70" s="10">
        <v>45802</v>
      </c>
      <c r="C70" t="s">
        <v>19</v>
      </c>
      <c r="D70" t="s">
        <v>12</v>
      </c>
      <c r="E70">
        <v>7245</v>
      </c>
      <c r="F70">
        <v>5815.99</v>
      </c>
      <c r="G70" s="6">
        <v>94836</v>
      </c>
      <c r="H70" s="6">
        <v>3956</v>
      </c>
      <c r="I70" s="6">
        <v>181</v>
      </c>
      <c r="J70">
        <v>4170.99</v>
      </c>
      <c r="K70">
        <f t="shared" si="8"/>
        <v>0.0417141170019824</v>
      </c>
      <c r="L70">
        <f t="shared" si="7"/>
        <v>1.47016936299292</v>
      </c>
      <c r="M70">
        <f t="shared" si="9"/>
        <v>32.1325414364641</v>
      </c>
      <c r="N70">
        <f t="shared" si="10"/>
        <v>0.717159073519728</v>
      </c>
      <c r="O70">
        <f t="shared" si="11"/>
        <v>-1645</v>
      </c>
      <c r="P70">
        <f t="shared" si="12"/>
        <v>-0.394390780126541</v>
      </c>
      <c r="Q70" t="str">
        <f t="shared" si="13"/>
        <v>2025-05</v>
      </c>
    </row>
    <row r="71" spans="1:17">
      <c r="A71" t="s">
        <v>88</v>
      </c>
      <c r="B71" s="10">
        <v>45698</v>
      </c>
      <c r="C71" t="s">
        <v>14</v>
      </c>
      <c r="D71" t="s">
        <v>20</v>
      </c>
      <c r="E71">
        <v>7644.51</v>
      </c>
      <c r="F71">
        <v>6127.22</v>
      </c>
      <c r="G71" s="6">
        <v>191486</v>
      </c>
      <c r="H71" s="6">
        <v>4445</v>
      </c>
      <c r="I71" s="6">
        <v>80</v>
      </c>
      <c r="J71">
        <v>1985.94</v>
      </c>
      <c r="K71">
        <f t="shared" si="8"/>
        <v>0.0232131852981419</v>
      </c>
      <c r="L71">
        <f t="shared" si="7"/>
        <v>1.37845219347582</v>
      </c>
      <c r="M71">
        <f t="shared" si="9"/>
        <v>76.59025</v>
      </c>
      <c r="N71">
        <f t="shared" si="10"/>
        <v>0.324117625938027</v>
      </c>
      <c r="O71">
        <f t="shared" si="11"/>
        <v>-4141.28</v>
      </c>
      <c r="P71">
        <f t="shared" si="12"/>
        <v>-2.0852996565858</v>
      </c>
      <c r="Q71" t="str">
        <f t="shared" si="13"/>
        <v>2025-02</v>
      </c>
    </row>
    <row r="72" spans="1:17">
      <c r="A72" t="s">
        <v>89</v>
      </c>
      <c r="B72" s="10">
        <v>45724</v>
      </c>
      <c r="C72" t="s">
        <v>24</v>
      </c>
      <c r="D72" t="s">
        <v>20</v>
      </c>
      <c r="E72">
        <v>6841.14</v>
      </c>
      <c r="F72">
        <v>6892.92</v>
      </c>
      <c r="G72" s="6">
        <v>138384</v>
      </c>
      <c r="H72" s="6">
        <v>3042</v>
      </c>
      <c r="I72" s="6">
        <v>323</v>
      </c>
      <c r="J72">
        <v>12777.5</v>
      </c>
      <c r="K72">
        <f t="shared" si="8"/>
        <v>0.0219823100936524</v>
      </c>
      <c r="L72">
        <f t="shared" si="7"/>
        <v>2.26591715976331</v>
      </c>
      <c r="M72">
        <f t="shared" si="9"/>
        <v>21.3403095975232</v>
      </c>
      <c r="N72">
        <f t="shared" si="10"/>
        <v>1.85371366561631</v>
      </c>
      <c r="O72">
        <f t="shared" si="11"/>
        <v>5884.58</v>
      </c>
      <c r="P72">
        <f t="shared" si="12"/>
        <v>0.460542359616513</v>
      </c>
      <c r="Q72" t="str">
        <f t="shared" si="13"/>
        <v>2025-03</v>
      </c>
    </row>
    <row r="73" spans="1:17">
      <c r="A73" t="s">
        <v>90</v>
      </c>
      <c r="B73" s="10">
        <v>45785</v>
      </c>
      <c r="C73" t="s">
        <v>22</v>
      </c>
      <c r="D73" t="s">
        <v>17</v>
      </c>
      <c r="E73">
        <v>4569.89</v>
      </c>
      <c r="F73">
        <v>4632.29</v>
      </c>
      <c r="G73" s="6">
        <v>72528</v>
      </c>
      <c r="H73" s="6">
        <v>1306</v>
      </c>
      <c r="I73" s="6">
        <v>139</v>
      </c>
      <c r="J73">
        <v>3769.33</v>
      </c>
      <c r="K73">
        <f t="shared" si="8"/>
        <v>0.0180068387381425</v>
      </c>
      <c r="L73">
        <f t="shared" si="7"/>
        <v>3.54692955589587</v>
      </c>
      <c r="M73">
        <f t="shared" si="9"/>
        <v>33.3258273381295</v>
      </c>
      <c r="N73">
        <f t="shared" si="10"/>
        <v>0.813707691012437</v>
      </c>
      <c r="O73">
        <f t="shared" si="11"/>
        <v>-862.96</v>
      </c>
      <c r="P73">
        <f t="shared" si="12"/>
        <v>-0.228942544165674</v>
      </c>
      <c r="Q73" t="str">
        <f t="shared" si="13"/>
        <v>2025-05</v>
      </c>
    </row>
    <row r="74" spans="1:17">
      <c r="A74" t="s">
        <v>91</v>
      </c>
      <c r="B74" s="10">
        <v>45712</v>
      </c>
      <c r="C74" t="s">
        <v>24</v>
      </c>
      <c r="D74" t="s">
        <v>20</v>
      </c>
      <c r="E74">
        <v>5277.8</v>
      </c>
      <c r="F74">
        <v>5404.19</v>
      </c>
      <c r="G74" s="6">
        <v>173181</v>
      </c>
      <c r="H74" s="6">
        <v>6365</v>
      </c>
      <c r="I74" s="6">
        <v>651</v>
      </c>
      <c r="J74">
        <v>25707.33</v>
      </c>
      <c r="K74">
        <f t="shared" si="8"/>
        <v>0.0367534544782626</v>
      </c>
      <c r="L74">
        <f t="shared" si="7"/>
        <v>0.849047918303221</v>
      </c>
      <c r="M74">
        <f t="shared" si="9"/>
        <v>8.30136712749616</v>
      </c>
      <c r="N74">
        <f t="shared" si="10"/>
        <v>4.75692564473122</v>
      </c>
      <c r="O74">
        <f t="shared" si="11"/>
        <v>20303.14</v>
      </c>
      <c r="P74">
        <f t="shared" si="12"/>
        <v>0.789780191097247</v>
      </c>
      <c r="Q74" t="str">
        <f t="shared" si="13"/>
        <v>2025-02</v>
      </c>
    </row>
    <row r="75" spans="1:17">
      <c r="A75" t="s">
        <v>92</v>
      </c>
      <c r="B75" s="10">
        <v>45674</v>
      </c>
      <c r="C75" t="s">
        <v>14</v>
      </c>
      <c r="D75" t="s">
        <v>17</v>
      </c>
      <c r="E75">
        <v>8944.56</v>
      </c>
      <c r="F75">
        <v>8920.27</v>
      </c>
      <c r="G75" s="6">
        <v>107709</v>
      </c>
      <c r="H75" s="6">
        <v>2586</v>
      </c>
      <c r="I75" s="6">
        <v>314</v>
      </c>
      <c r="J75">
        <v>11633.47</v>
      </c>
      <c r="K75">
        <f t="shared" si="8"/>
        <v>0.0240091357268195</v>
      </c>
      <c r="L75">
        <f t="shared" ref="L75:L106" si="14">F75/H75</f>
        <v>3.44944702242846</v>
      </c>
      <c r="M75">
        <f t="shared" si="9"/>
        <v>28.4085031847134</v>
      </c>
      <c r="N75">
        <f t="shared" si="10"/>
        <v>1.30416119691444</v>
      </c>
      <c r="O75">
        <f t="shared" si="11"/>
        <v>2713.2</v>
      </c>
      <c r="P75">
        <f t="shared" si="12"/>
        <v>0.233223621155167</v>
      </c>
      <c r="Q75" t="str">
        <f t="shared" si="13"/>
        <v>2025-01</v>
      </c>
    </row>
    <row r="76" spans="1:17">
      <c r="A76" t="s">
        <v>93</v>
      </c>
      <c r="B76" s="10">
        <v>45757</v>
      </c>
      <c r="C76" t="s">
        <v>19</v>
      </c>
      <c r="D76" t="s">
        <v>15</v>
      </c>
      <c r="E76">
        <v>3655.72</v>
      </c>
      <c r="F76">
        <v>3327.86</v>
      </c>
      <c r="G76" s="6">
        <v>86473</v>
      </c>
      <c r="H76" s="6">
        <v>2750</v>
      </c>
      <c r="I76" s="6">
        <v>491</v>
      </c>
      <c r="J76">
        <v>13726.43</v>
      </c>
      <c r="K76">
        <f t="shared" si="8"/>
        <v>0.0318018340985047</v>
      </c>
      <c r="L76">
        <f t="shared" si="14"/>
        <v>1.21013090909091</v>
      </c>
      <c r="M76">
        <f t="shared" si="9"/>
        <v>6.77771894093686</v>
      </c>
      <c r="N76">
        <f t="shared" si="10"/>
        <v>4.1247017602904</v>
      </c>
      <c r="O76">
        <f t="shared" si="11"/>
        <v>10398.57</v>
      </c>
      <c r="P76">
        <f t="shared" si="12"/>
        <v>0.757558228905841</v>
      </c>
      <c r="Q76" t="str">
        <f t="shared" si="13"/>
        <v>2025-04</v>
      </c>
    </row>
    <row r="77" spans="1:17">
      <c r="A77" t="s">
        <v>94</v>
      </c>
      <c r="B77" s="10">
        <v>45818</v>
      </c>
      <c r="C77" t="s">
        <v>24</v>
      </c>
      <c r="D77" t="s">
        <v>17</v>
      </c>
      <c r="E77">
        <v>4707.93</v>
      </c>
      <c r="F77">
        <v>5140.6</v>
      </c>
      <c r="G77" s="6">
        <v>94803</v>
      </c>
      <c r="H77" s="6">
        <v>2004</v>
      </c>
      <c r="I77" s="6">
        <v>320</v>
      </c>
      <c r="J77">
        <v>10173.74</v>
      </c>
      <c r="K77">
        <f t="shared" si="8"/>
        <v>0.021138571564191</v>
      </c>
      <c r="L77">
        <f t="shared" si="14"/>
        <v>2.56516966067864</v>
      </c>
      <c r="M77">
        <f t="shared" si="9"/>
        <v>16.064375</v>
      </c>
      <c r="N77">
        <f t="shared" si="10"/>
        <v>1.97909582539003</v>
      </c>
      <c r="O77">
        <f t="shared" si="11"/>
        <v>5033.14</v>
      </c>
      <c r="P77">
        <f t="shared" si="12"/>
        <v>0.494718756327565</v>
      </c>
      <c r="Q77" t="str">
        <f t="shared" si="13"/>
        <v>2025-06</v>
      </c>
    </row>
    <row r="78" spans="1:17">
      <c r="A78" t="s">
        <v>95</v>
      </c>
      <c r="B78" s="10">
        <v>45636</v>
      </c>
      <c r="C78" t="s">
        <v>19</v>
      </c>
      <c r="D78" t="s">
        <v>12</v>
      </c>
      <c r="E78">
        <v>9244.33</v>
      </c>
      <c r="F78">
        <v>9145.8</v>
      </c>
      <c r="G78" s="6">
        <v>55244</v>
      </c>
      <c r="H78" s="6">
        <v>2028</v>
      </c>
      <c r="I78" s="6">
        <v>320</v>
      </c>
      <c r="J78">
        <v>14030.19</v>
      </c>
      <c r="K78">
        <f t="shared" si="8"/>
        <v>0.0367098689450438</v>
      </c>
      <c r="L78">
        <f t="shared" si="14"/>
        <v>4.50976331360947</v>
      </c>
      <c r="M78">
        <f t="shared" si="9"/>
        <v>28.580625</v>
      </c>
      <c r="N78">
        <f t="shared" si="10"/>
        <v>1.53405825624877</v>
      </c>
      <c r="O78">
        <f t="shared" si="11"/>
        <v>4884.39</v>
      </c>
      <c r="P78">
        <f t="shared" si="12"/>
        <v>0.348134273306349</v>
      </c>
      <c r="Q78" t="str">
        <f t="shared" si="13"/>
        <v>2024-12</v>
      </c>
    </row>
    <row r="79" spans="1:17">
      <c r="A79" t="s">
        <v>96</v>
      </c>
      <c r="B79" s="10">
        <v>45713</v>
      </c>
      <c r="C79" t="s">
        <v>11</v>
      </c>
      <c r="D79" t="s">
        <v>20</v>
      </c>
      <c r="E79">
        <v>6518.46</v>
      </c>
      <c r="F79">
        <v>6342.93</v>
      </c>
      <c r="G79" s="6">
        <v>103713</v>
      </c>
      <c r="H79" s="6">
        <v>2193</v>
      </c>
      <c r="I79" s="6">
        <v>165</v>
      </c>
      <c r="J79">
        <v>5737.96</v>
      </c>
      <c r="K79">
        <f t="shared" si="8"/>
        <v>0.0211448902259119</v>
      </c>
      <c r="L79">
        <f t="shared" si="14"/>
        <v>2.89235294117647</v>
      </c>
      <c r="M79">
        <f t="shared" si="9"/>
        <v>38.442</v>
      </c>
      <c r="N79">
        <f t="shared" si="10"/>
        <v>0.90462294239413</v>
      </c>
      <c r="O79">
        <f t="shared" si="11"/>
        <v>-604.97</v>
      </c>
      <c r="P79">
        <f t="shared" si="12"/>
        <v>-0.105432941324094</v>
      </c>
      <c r="Q79" t="str">
        <f t="shared" si="13"/>
        <v>2025-02</v>
      </c>
    </row>
    <row r="80" spans="1:17">
      <c r="A80" t="s">
        <v>97</v>
      </c>
      <c r="B80" s="10">
        <v>45725</v>
      </c>
      <c r="C80" t="s">
        <v>11</v>
      </c>
      <c r="D80" t="s">
        <v>12</v>
      </c>
      <c r="E80">
        <v>4366.7</v>
      </c>
      <c r="F80">
        <v>4439.78</v>
      </c>
      <c r="G80" s="6">
        <v>110834</v>
      </c>
      <c r="H80" s="6">
        <v>4636</v>
      </c>
      <c r="I80" s="6">
        <v>797</v>
      </c>
      <c r="J80">
        <v>22653.27</v>
      </c>
      <c r="K80">
        <f t="shared" si="8"/>
        <v>0.0418283198296552</v>
      </c>
      <c r="L80">
        <f t="shared" si="14"/>
        <v>0.95767471958585</v>
      </c>
      <c r="M80">
        <f t="shared" si="9"/>
        <v>5.5706148055207</v>
      </c>
      <c r="N80">
        <f t="shared" si="10"/>
        <v>5.10234065651902</v>
      </c>
      <c r="O80">
        <f t="shared" si="11"/>
        <v>18213.49</v>
      </c>
      <c r="P80">
        <f t="shared" si="12"/>
        <v>0.804011517983938</v>
      </c>
      <c r="Q80" t="str">
        <f t="shared" si="13"/>
        <v>2025-03</v>
      </c>
    </row>
    <row r="81" spans="1:17">
      <c r="A81" t="s">
        <v>98</v>
      </c>
      <c r="B81" s="10">
        <v>45731</v>
      </c>
      <c r="C81" t="s">
        <v>14</v>
      </c>
      <c r="D81" t="s">
        <v>20</v>
      </c>
      <c r="E81">
        <v>3170.21</v>
      </c>
      <c r="F81">
        <v>3150.05</v>
      </c>
      <c r="G81" s="6">
        <v>122735</v>
      </c>
      <c r="H81" s="6">
        <v>2941</v>
      </c>
      <c r="I81" s="6">
        <v>274</v>
      </c>
      <c r="J81">
        <v>6935.85</v>
      </c>
      <c r="K81">
        <f t="shared" si="8"/>
        <v>0.0239621949729091</v>
      </c>
      <c r="L81">
        <f t="shared" si="14"/>
        <v>1.07108126487589</v>
      </c>
      <c r="M81">
        <f t="shared" si="9"/>
        <v>11.4965328467153</v>
      </c>
      <c r="N81">
        <f t="shared" si="10"/>
        <v>2.20182219329852</v>
      </c>
      <c r="O81">
        <f t="shared" si="11"/>
        <v>3785.8</v>
      </c>
      <c r="P81">
        <f t="shared" si="12"/>
        <v>0.545830720099195</v>
      </c>
      <c r="Q81" t="str">
        <f t="shared" si="13"/>
        <v>2025-03</v>
      </c>
    </row>
    <row r="82" spans="1:17">
      <c r="A82" t="s">
        <v>99</v>
      </c>
      <c r="B82" s="10">
        <v>45671</v>
      </c>
      <c r="C82" t="s">
        <v>22</v>
      </c>
      <c r="D82" t="s">
        <v>20</v>
      </c>
      <c r="E82">
        <v>9583.21</v>
      </c>
      <c r="F82">
        <v>10409.08</v>
      </c>
      <c r="G82" s="6">
        <v>188008</v>
      </c>
      <c r="H82" s="6">
        <v>8592</v>
      </c>
      <c r="I82" s="6">
        <v>165</v>
      </c>
      <c r="J82">
        <v>7828.58</v>
      </c>
      <c r="K82">
        <f t="shared" si="8"/>
        <v>0.0457001829709374</v>
      </c>
      <c r="L82">
        <f t="shared" si="14"/>
        <v>1.21148510242086</v>
      </c>
      <c r="M82">
        <f t="shared" si="9"/>
        <v>63.0853333333333</v>
      </c>
      <c r="N82">
        <f t="shared" si="10"/>
        <v>0.75209144323994</v>
      </c>
      <c r="O82">
        <f t="shared" si="11"/>
        <v>-2580.5</v>
      </c>
      <c r="P82">
        <f t="shared" si="12"/>
        <v>-0.329625551504871</v>
      </c>
      <c r="Q82" t="str">
        <f t="shared" si="13"/>
        <v>2025-01</v>
      </c>
    </row>
    <row r="83" spans="1:17">
      <c r="A83" t="s">
        <v>100</v>
      </c>
      <c r="B83" s="10">
        <v>45706</v>
      </c>
      <c r="C83" t="s">
        <v>11</v>
      </c>
      <c r="D83" t="s">
        <v>20</v>
      </c>
      <c r="E83">
        <v>5591.11</v>
      </c>
      <c r="F83">
        <v>4498.81</v>
      </c>
      <c r="G83" s="6">
        <v>139883</v>
      </c>
      <c r="H83" s="6">
        <v>4226</v>
      </c>
      <c r="I83" s="6">
        <v>835</v>
      </c>
      <c r="J83">
        <v>39954.38</v>
      </c>
      <c r="K83">
        <f t="shared" si="8"/>
        <v>0.0302109620182581</v>
      </c>
      <c r="L83">
        <f t="shared" si="14"/>
        <v>1.06455513487932</v>
      </c>
      <c r="M83">
        <f t="shared" si="9"/>
        <v>5.38779640718563</v>
      </c>
      <c r="N83">
        <f t="shared" si="10"/>
        <v>8.88109966857902</v>
      </c>
      <c r="O83">
        <f t="shared" si="11"/>
        <v>35455.57</v>
      </c>
      <c r="P83">
        <f t="shared" si="12"/>
        <v>0.887401331218254</v>
      </c>
      <c r="Q83" t="str">
        <f t="shared" si="13"/>
        <v>2025-02</v>
      </c>
    </row>
    <row r="84" spans="1:17">
      <c r="A84" t="s">
        <v>101</v>
      </c>
      <c r="B84" s="10">
        <v>45701</v>
      </c>
      <c r="C84" t="s">
        <v>22</v>
      </c>
      <c r="D84" t="s">
        <v>20</v>
      </c>
      <c r="E84">
        <v>5997.29</v>
      </c>
      <c r="F84">
        <v>6537.02</v>
      </c>
      <c r="G84" s="6">
        <v>138325</v>
      </c>
      <c r="H84" s="6">
        <v>4027</v>
      </c>
      <c r="I84" s="6">
        <v>453</v>
      </c>
      <c r="J84">
        <v>22155.6</v>
      </c>
      <c r="K84">
        <f t="shared" si="8"/>
        <v>0.0291125971444063</v>
      </c>
      <c r="L84">
        <f t="shared" si="14"/>
        <v>1.62329774025329</v>
      </c>
      <c r="M84">
        <f t="shared" si="9"/>
        <v>14.4305077262693</v>
      </c>
      <c r="N84">
        <f t="shared" si="10"/>
        <v>3.38925075952039</v>
      </c>
      <c r="O84">
        <f t="shared" si="11"/>
        <v>15618.58</v>
      </c>
      <c r="P84">
        <f t="shared" si="12"/>
        <v>0.704949538717074</v>
      </c>
      <c r="Q84" t="str">
        <f t="shared" si="13"/>
        <v>2025-02</v>
      </c>
    </row>
    <row r="85" spans="1:17">
      <c r="A85" t="s">
        <v>102</v>
      </c>
      <c r="B85" s="10">
        <v>45763</v>
      </c>
      <c r="C85" t="s">
        <v>11</v>
      </c>
      <c r="D85" t="s">
        <v>20</v>
      </c>
      <c r="E85">
        <v>8971.07</v>
      </c>
      <c r="F85">
        <v>7969.31</v>
      </c>
      <c r="G85" s="6">
        <v>82264</v>
      </c>
      <c r="H85" s="6">
        <v>3537</v>
      </c>
      <c r="I85" s="6">
        <v>673</v>
      </c>
      <c r="J85">
        <v>21235.12</v>
      </c>
      <c r="K85">
        <f t="shared" si="8"/>
        <v>0.0429957210930662</v>
      </c>
      <c r="L85">
        <f t="shared" si="14"/>
        <v>2.25312694373763</v>
      </c>
      <c r="M85">
        <f t="shared" si="9"/>
        <v>11.84147102526</v>
      </c>
      <c r="N85">
        <f t="shared" si="10"/>
        <v>2.66461211823859</v>
      </c>
      <c r="O85">
        <f t="shared" si="11"/>
        <v>13265.81</v>
      </c>
      <c r="P85">
        <f t="shared" si="12"/>
        <v>0.624710856354944</v>
      </c>
      <c r="Q85" t="str">
        <f t="shared" si="13"/>
        <v>2025-04</v>
      </c>
    </row>
    <row r="86" spans="1:17">
      <c r="A86" t="s">
        <v>103</v>
      </c>
      <c r="B86" s="10">
        <v>45642</v>
      </c>
      <c r="C86" t="s">
        <v>14</v>
      </c>
      <c r="D86" t="s">
        <v>12</v>
      </c>
      <c r="E86">
        <v>8957.96</v>
      </c>
      <c r="F86">
        <v>8018.06</v>
      </c>
      <c r="G86" s="6">
        <v>88706</v>
      </c>
      <c r="H86" s="6">
        <v>1251</v>
      </c>
      <c r="I86" s="6">
        <v>146</v>
      </c>
      <c r="J86">
        <v>3662.38</v>
      </c>
      <c r="K86">
        <f t="shared" si="8"/>
        <v>0.0141027664419543</v>
      </c>
      <c r="L86">
        <f t="shared" si="14"/>
        <v>6.40932054356515</v>
      </c>
      <c r="M86">
        <f t="shared" si="9"/>
        <v>54.9182191780822</v>
      </c>
      <c r="N86">
        <f t="shared" si="10"/>
        <v>0.456766349964954</v>
      </c>
      <c r="O86">
        <f t="shared" si="11"/>
        <v>-4355.68</v>
      </c>
      <c r="P86">
        <f t="shared" si="12"/>
        <v>-1.18930313075104</v>
      </c>
      <c r="Q86" t="str">
        <f t="shared" si="13"/>
        <v>2024-12</v>
      </c>
    </row>
    <row r="87" spans="1:17">
      <c r="A87" t="s">
        <v>104</v>
      </c>
      <c r="B87" s="10">
        <v>45693</v>
      </c>
      <c r="C87" t="s">
        <v>11</v>
      </c>
      <c r="D87" t="s">
        <v>17</v>
      </c>
      <c r="E87">
        <v>6897.61</v>
      </c>
      <c r="F87">
        <v>7455.26</v>
      </c>
      <c r="G87" s="6">
        <v>141755</v>
      </c>
      <c r="H87" s="6">
        <v>1695</v>
      </c>
      <c r="I87" s="6">
        <v>122</v>
      </c>
      <c r="J87">
        <v>4987.47</v>
      </c>
      <c r="K87">
        <f t="shared" si="8"/>
        <v>0.0119572501851787</v>
      </c>
      <c r="L87">
        <f t="shared" si="14"/>
        <v>4.39838348082596</v>
      </c>
      <c r="M87">
        <f t="shared" si="9"/>
        <v>61.1086885245902</v>
      </c>
      <c r="N87">
        <f t="shared" si="10"/>
        <v>0.668986728833066</v>
      </c>
      <c r="O87">
        <f t="shared" si="11"/>
        <v>-2467.79</v>
      </c>
      <c r="P87">
        <f t="shared" si="12"/>
        <v>-0.494797963697025</v>
      </c>
      <c r="Q87" t="str">
        <f t="shared" si="13"/>
        <v>2025-02</v>
      </c>
    </row>
    <row r="88" spans="1:17">
      <c r="A88" t="s">
        <v>105</v>
      </c>
      <c r="B88" s="10">
        <v>45639</v>
      </c>
      <c r="C88" t="s">
        <v>19</v>
      </c>
      <c r="D88" t="s">
        <v>17</v>
      </c>
      <c r="E88">
        <v>6990.43</v>
      </c>
      <c r="F88">
        <v>5796.14</v>
      </c>
      <c r="G88" s="6">
        <v>97675</v>
      </c>
      <c r="H88" s="6">
        <v>4253</v>
      </c>
      <c r="I88" s="6">
        <v>420</v>
      </c>
      <c r="J88">
        <v>16149.09</v>
      </c>
      <c r="K88">
        <f t="shared" si="8"/>
        <v>0.0435423598669056</v>
      </c>
      <c r="L88">
        <f t="shared" si="14"/>
        <v>1.36283564542676</v>
      </c>
      <c r="M88">
        <f t="shared" si="9"/>
        <v>13.8003333333333</v>
      </c>
      <c r="N88">
        <f t="shared" si="10"/>
        <v>2.78618011297174</v>
      </c>
      <c r="O88">
        <f t="shared" si="11"/>
        <v>10352.95</v>
      </c>
      <c r="P88">
        <f t="shared" si="12"/>
        <v>0.641085658696558</v>
      </c>
      <c r="Q88" t="str">
        <f t="shared" si="13"/>
        <v>2024-12</v>
      </c>
    </row>
    <row r="89" spans="1:17">
      <c r="A89" t="s">
        <v>106</v>
      </c>
      <c r="B89" s="10">
        <v>45766</v>
      </c>
      <c r="C89" t="s">
        <v>24</v>
      </c>
      <c r="D89" t="s">
        <v>17</v>
      </c>
      <c r="E89">
        <v>9930.38</v>
      </c>
      <c r="F89">
        <v>8361.63</v>
      </c>
      <c r="G89" s="6">
        <v>155967</v>
      </c>
      <c r="H89" s="6">
        <v>1655</v>
      </c>
      <c r="I89" s="6">
        <v>74</v>
      </c>
      <c r="J89">
        <v>2630.69</v>
      </c>
      <c r="K89">
        <f t="shared" si="8"/>
        <v>0.0106112190399251</v>
      </c>
      <c r="L89">
        <f t="shared" si="14"/>
        <v>5.05234441087613</v>
      </c>
      <c r="M89">
        <f t="shared" si="9"/>
        <v>112.995</v>
      </c>
      <c r="N89">
        <f t="shared" si="10"/>
        <v>0.314614495020708</v>
      </c>
      <c r="O89">
        <f t="shared" si="11"/>
        <v>-5730.94</v>
      </c>
      <c r="P89">
        <f t="shared" si="12"/>
        <v>-2.17849309496748</v>
      </c>
      <c r="Q89" t="str">
        <f t="shared" si="13"/>
        <v>2025-04</v>
      </c>
    </row>
    <row r="90" spans="1:17">
      <c r="A90" t="s">
        <v>107</v>
      </c>
      <c r="B90" s="10">
        <v>45645</v>
      </c>
      <c r="C90" t="s">
        <v>19</v>
      </c>
      <c r="D90" t="s">
        <v>15</v>
      </c>
      <c r="E90">
        <v>9141.61</v>
      </c>
      <c r="F90">
        <v>9344.83</v>
      </c>
      <c r="G90" s="6">
        <v>154219</v>
      </c>
      <c r="H90" s="6">
        <v>2086</v>
      </c>
      <c r="I90" s="6">
        <v>249</v>
      </c>
      <c r="J90">
        <v>10186.71</v>
      </c>
      <c r="K90">
        <f t="shared" si="8"/>
        <v>0.01352621920775</v>
      </c>
      <c r="L90">
        <f t="shared" si="14"/>
        <v>4.47978427612656</v>
      </c>
      <c r="M90">
        <f t="shared" si="9"/>
        <v>37.529437751004</v>
      </c>
      <c r="N90">
        <f t="shared" si="10"/>
        <v>1.0900904564342</v>
      </c>
      <c r="O90">
        <f t="shared" si="11"/>
        <v>841.879999999999</v>
      </c>
      <c r="P90">
        <f t="shared" si="12"/>
        <v>0.0826449363926134</v>
      </c>
      <c r="Q90" t="str">
        <f t="shared" si="13"/>
        <v>2024-12</v>
      </c>
    </row>
    <row r="91" spans="1:17">
      <c r="A91" t="s">
        <v>108</v>
      </c>
      <c r="B91" s="10">
        <v>45784</v>
      </c>
      <c r="C91" t="s">
        <v>14</v>
      </c>
      <c r="D91" t="s">
        <v>12</v>
      </c>
      <c r="E91">
        <v>7917.39</v>
      </c>
      <c r="F91">
        <v>7187.78</v>
      </c>
      <c r="G91" s="6">
        <v>133842</v>
      </c>
      <c r="H91" s="6">
        <v>1394</v>
      </c>
      <c r="I91" s="6">
        <v>197</v>
      </c>
      <c r="J91">
        <v>5675.13</v>
      </c>
      <c r="K91">
        <f t="shared" si="8"/>
        <v>0.0104152657611213</v>
      </c>
      <c r="L91">
        <f t="shared" si="14"/>
        <v>5.15622668579627</v>
      </c>
      <c r="M91">
        <f t="shared" si="9"/>
        <v>36.486192893401</v>
      </c>
      <c r="N91">
        <f t="shared" si="10"/>
        <v>0.789552546126899</v>
      </c>
      <c r="O91">
        <f t="shared" si="11"/>
        <v>-1512.65</v>
      </c>
      <c r="P91">
        <f t="shared" si="12"/>
        <v>-0.266540149741063</v>
      </c>
      <c r="Q91" t="str">
        <f t="shared" si="13"/>
        <v>2025-05</v>
      </c>
    </row>
    <row r="92" spans="1:17">
      <c r="A92" t="s">
        <v>109</v>
      </c>
      <c r="B92" s="10">
        <v>45662</v>
      </c>
      <c r="C92" t="s">
        <v>22</v>
      </c>
      <c r="D92" t="s">
        <v>17</v>
      </c>
      <c r="E92">
        <v>8665.53</v>
      </c>
      <c r="F92">
        <v>9038.44</v>
      </c>
      <c r="G92" s="6">
        <v>126153</v>
      </c>
      <c r="H92" s="6">
        <v>6045</v>
      </c>
      <c r="I92" s="6">
        <v>748</v>
      </c>
      <c r="J92">
        <v>34417.1</v>
      </c>
      <c r="K92">
        <f t="shared" si="8"/>
        <v>0.0479180043280778</v>
      </c>
      <c r="L92">
        <f t="shared" si="14"/>
        <v>1.49519272125724</v>
      </c>
      <c r="M92">
        <f t="shared" si="9"/>
        <v>12.0834759358289</v>
      </c>
      <c r="N92">
        <f t="shared" si="10"/>
        <v>3.80785843574776</v>
      </c>
      <c r="O92">
        <f t="shared" si="11"/>
        <v>25378.66</v>
      </c>
      <c r="P92">
        <f t="shared" si="12"/>
        <v>0.737385195150085</v>
      </c>
      <c r="Q92" t="str">
        <f t="shared" si="13"/>
        <v>2025-01</v>
      </c>
    </row>
    <row r="93" spans="1:17">
      <c r="A93" t="s">
        <v>110</v>
      </c>
      <c r="B93" s="10">
        <v>45642</v>
      </c>
      <c r="C93" t="s">
        <v>11</v>
      </c>
      <c r="D93" t="s">
        <v>15</v>
      </c>
      <c r="E93">
        <v>9392.68</v>
      </c>
      <c r="F93">
        <v>8955.01</v>
      </c>
      <c r="G93" s="6">
        <v>83386</v>
      </c>
      <c r="H93" s="6">
        <v>1255</v>
      </c>
      <c r="I93" s="6">
        <v>90</v>
      </c>
      <c r="J93">
        <v>3154.09</v>
      </c>
      <c r="K93">
        <f t="shared" si="8"/>
        <v>0.0150504880915262</v>
      </c>
      <c r="L93">
        <f t="shared" si="14"/>
        <v>7.13546613545817</v>
      </c>
      <c r="M93">
        <f t="shared" si="9"/>
        <v>99.5001111111111</v>
      </c>
      <c r="N93">
        <f t="shared" si="10"/>
        <v>0.352215128737991</v>
      </c>
      <c r="O93">
        <f t="shared" si="11"/>
        <v>-5800.92</v>
      </c>
      <c r="P93">
        <f t="shared" si="12"/>
        <v>-1.83917389801813</v>
      </c>
      <c r="Q93" t="str">
        <f t="shared" si="13"/>
        <v>2024-12</v>
      </c>
    </row>
    <row r="94" spans="1:17">
      <c r="A94" t="s">
        <v>111</v>
      </c>
      <c r="B94" s="10">
        <v>45801</v>
      </c>
      <c r="C94" t="s">
        <v>22</v>
      </c>
      <c r="D94" t="s">
        <v>17</v>
      </c>
      <c r="E94">
        <v>8588.07</v>
      </c>
      <c r="F94">
        <v>8545.04</v>
      </c>
      <c r="G94" s="6">
        <v>137986</v>
      </c>
      <c r="H94" s="6">
        <v>6053</v>
      </c>
      <c r="I94" s="6">
        <v>403</v>
      </c>
      <c r="J94">
        <v>16546.78</v>
      </c>
      <c r="K94">
        <f t="shared" si="8"/>
        <v>0.0438667690925166</v>
      </c>
      <c r="L94">
        <f t="shared" si="14"/>
        <v>1.41170328762597</v>
      </c>
      <c r="M94">
        <f t="shared" si="9"/>
        <v>21.2035732009926</v>
      </c>
      <c r="N94">
        <f t="shared" si="10"/>
        <v>1.93641925608306</v>
      </c>
      <c r="O94">
        <f t="shared" si="11"/>
        <v>8001.74</v>
      </c>
      <c r="P94">
        <f t="shared" si="12"/>
        <v>0.483582908577983</v>
      </c>
      <c r="Q94" t="str">
        <f t="shared" si="13"/>
        <v>2025-05</v>
      </c>
    </row>
    <row r="95" spans="1:17">
      <c r="A95" t="s">
        <v>112</v>
      </c>
      <c r="B95" s="10">
        <v>45767</v>
      </c>
      <c r="C95" t="s">
        <v>14</v>
      </c>
      <c r="D95" t="s">
        <v>20</v>
      </c>
      <c r="E95">
        <v>8570.55</v>
      </c>
      <c r="F95">
        <v>9144.79</v>
      </c>
      <c r="G95" s="6">
        <v>103318</v>
      </c>
      <c r="H95" s="6">
        <v>2013</v>
      </c>
      <c r="I95" s="6">
        <v>80</v>
      </c>
      <c r="J95">
        <v>2411.19</v>
      </c>
      <c r="K95">
        <f t="shared" si="8"/>
        <v>0.0194835362666718</v>
      </c>
      <c r="L95">
        <f t="shared" si="14"/>
        <v>4.54286636860407</v>
      </c>
      <c r="M95">
        <f t="shared" si="9"/>
        <v>114.309875</v>
      </c>
      <c r="N95">
        <f t="shared" si="10"/>
        <v>0.263668165151961</v>
      </c>
      <c r="O95">
        <f t="shared" si="11"/>
        <v>-6733.6</v>
      </c>
      <c r="P95">
        <f t="shared" si="12"/>
        <v>-2.79264595490194</v>
      </c>
      <c r="Q95" t="str">
        <f t="shared" si="13"/>
        <v>2025-04</v>
      </c>
    </row>
    <row r="96" spans="1:17">
      <c r="A96" t="s">
        <v>113</v>
      </c>
      <c r="B96" s="10">
        <v>45779</v>
      </c>
      <c r="C96" t="s">
        <v>22</v>
      </c>
      <c r="D96" t="s">
        <v>15</v>
      </c>
      <c r="E96">
        <v>5629.08</v>
      </c>
      <c r="F96">
        <v>4661.97</v>
      </c>
      <c r="G96" s="6">
        <v>163071</v>
      </c>
      <c r="H96" s="6">
        <v>2665</v>
      </c>
      <c r="I96" s="6">
        <v>80</v>
      </c>
      <c r="J96">
        <v>2987.87</v>
      </c>
      <c r="K96">
        <f t="shared" si="8"/>
        <v>0.0163425747067228</v>
      </c>
      <c r="L96">
        <f t="shared" si="14"/>
        <v>1.74933208255159</v>
      </c>
      <c r="M96">
        <f t="shared" si="9"/>
        <v>58.274625</v>
      </c>
      <c r="N96">
        <f t="shared" si="10"/>
        <v>0.640902880112914</v>
      </c>
      <c r="O96">
        <f t="shared" si="11"/>
        <v>-1674.1</v>
      </c>
      <c r="P96">
        <f t="shared" si="12"/>
        <v>-0.560298808181079</v>
      </c>
      <c r="Q96" t="str">
        <f t="shared" si="13"/>
        <v>2025-05</v>
      </c>
    </row>
    <row r="97" spans="1:17">
      <c r="A97" t="s">
        <v>114</v>
      </c>
      <c r="B97" s="10">
        <v>45813</v>
      </c>
      <c r="C97" t="s">
        <v>14</v>
      </c>
      <c r="D97" t="s">
        <v>17</v>
      </c>
      <c r="E97">
        <v>3251.6</v>
      </c>
      <c r="F97">
        <v>3055.46</v>
      </c>
      <c r="G97" s="6">
        <v>115973</v>
      </c>
      <c r="H97" s="6">
        <v>4194</v>
      </c>
      <c r="I97" s="6">
        <v>366</v>
      </c>
      <c r="J97">
        <v>13278.24</v>
      </c>
      <c r="K97">
        <f t="shared" si="8"/>
        <v>0.0361635898010744</v>
      </c>
      <c r="L97">
        <f t="shared" si="14"/>
        <v>0.728531235097759</v>
      </c>
      <c r="M97">
        <f t="shared" si="9"/>
        <v>8.34825136612022</v>
      </c>
      <c r="N97">
        <f t="shared" si="10"/>
        <v>4.34574172137747</v>
      </c>
      <c r="O97">
        <f t="shared" si="11"/>
        <v>10222.78</v>
      </c>
      <c r="P97">
        <f t="shared" si="12"/>
        <v>0.769889684175011</v>
      </c>
      <c r="Q97" t="str">
        <f t="shared" si="13"/>
        <v>2025-06</v>
      </c>
    </row>
    <row r="98" spans="1:17">
      <c r="A98" t="s">
        <v>115</v>
      </c>
      <c r="B98" s="10">
        <v>45742</v>
      </c>
      <c r="C98" t="s">
        <v>24</v>
      </c>
      <c r="D98" t="s">
        <v>15</v>
      </c>
      <c r="E98">
        <v>5005.79</v>
      </c>
      <c r="F98">
        <v>4891.91</v>
      </c>
      <c r="G98" s="6">
        <v>58155</v>
      </c>
      <c r="H98" s="6">
        <v>2713</v>
      </c>
      <c r="I98" s="6">
        <v>76</v>
      </c>
      <c r="J98">
        <v>1589.54</v>
      </c>
      <c r="K98">
        <f t="shared" si="8"/>
        <v>0.0466511907832517</v>
      </c>
      <c r="L98">
        <f t="shared" si="14"/>
        <v>1.80313674898636</v>
      </c>
      <c r="M98">
        <f t="shared" si="9"/>
        <v>64.3672368421053</v>
      </c>
      <c r="N98">
        <f t="shared" si="10"/>
        <v>0.324932388371822</v>
      </c>
      <c r="O98">
        <f t="shared" si="11"/>
        <v>-3302.37</v>
      </c>
      <c r="P98">
        <f t="shared" si="12"/>
        <v>-2.07756332020585</v>
      </c>
      <c r="Q98" t="str">
        <f t="shared" si="13"/>
        <v>2025-03</v>
      </c>
    </row>
    <row r="99" spans="1:17">
      <c r="A99" t="s">
        <v>116</v>
      </c>
      <c r="B99" s="10">
        <v>45668</v>
      </c>
      <c r="C99" t="s">
        <v>14</v>
      </c>
      <c r="D99" t="s">
        <v>20</v>
      </c>
      <c r="E99">
        <v>3261.44</v>
      </c>
      <c r="F99">
        <v>3414.01</v>
      </c>
      <c r="G99" s="6">
        <v>121100</v>
      </c>
      <c r="H99" s="6">
        <v>4154</v>
      </c>
      <c r="I99" s="6">
        <v>712</v>
      </c>
      <c r="J99">
        <v>21933.67</v>
      </c>
      <c r="K99">
        <f t="shared" si="8"/>
        <v>0.0343022295623452</v>
      </c>
      <c r="L99">
        <f t="shared" si="14"/>
        <v>0.821860857005296</v>
      </c>
      <c r="M99">
        <f t="shared" si="9"/>
        <v>4.79495786516854</v>
      </c>
      <c r="N99">
        <f t="shared" si="10"/>
        <v>6.42460625481472</v>
      </c>
      <c r="O99">
        <f t="shared" si="11"/>
        <v>18519.66</v>
      </c>
      <c r="P99">
        <f t="shared" si="12"/>
        <v>0.844348437812733</v>
      </c>
      <c r="Q99" t="str">
        <f t="shared" si="13"/>
        <v>2025-01</v>
      </c>
    </row>
    <row r="100" spans="1:17">
      <c r="A100" t="s">
        <v>117</v>
      </c>
      <c r="B100" s="10">
        <v>45791</v>
      </c>
      <c r="C100" t="s">
        <v>22</v>
      </c>
      <c r="D100" t="s">
        <v>20</v>
      </c>
      <c r="E100">
        <v>3889.42</v>
      </c>
      <c r="F100">
        <v>3720.9</v>
      </c>
      <c r="G100" s="6">
        <v>129730</v>
      </c>
      <c r="H100" s="6">
        <v>3017</v>
      </c>
      <c r="I100" s="6">
        <v>425</v>
      </c>
      <c r="J100">
        <v>18317.42</v>
      </c>
      <c r="K100">
        <f t="shared" si="8"/>
        <v>0.0232559932166808</v>
      </c>
      <c r="L100">
        <f t="shared" si="14"/>
        <v>1.23331123632748</v>
      </c>
      <c r="M100">
        <f t="shared" si="9"/>
        <v>8.75505882352941</v>
      </c>
      <c r="N100">
        <f t="shared" si="10"/>
        <v>4.92284662312881</v>
      </c>
      <c r="O100">
        <f t="shared" si="11"/>
        <v>14596.52</v>
      </c>
      <c r="P100">
        <f t="shared" si="12"/>
        <v>0.796865497433591</v>
      </c>
      <c r="Q100" t="str">
        <f t="shared" si="13"/>
        <v>2025-05</v>
      </c>
    </row>
    <row r="101" spans="1:17">
      <c r="A101" t="s">
        <v>118</v>
      </c>
      <c r="B101" s="10">
        <v>45720</v>
      </c>
      <c r="C101" t="s">
        <v>11</v>
      </c>
      <c r="D101" t="s">
        <v>12</v>
      </c>
      <c r="E101">
        <v>4510.75</v>
      </c>
      <c r="F101">
        <v>4451.51</v>
      </c>
      <c r="G101" s="6">
        <v>51577</v>
      </c>
      <c r="H101" s="6">
        <v>1434</v>
      </c>
      <c r="I101" s="6">
        <v>154</v>
      </c>
      <c r="J101">
        <v>3474.31</v>
      </c>
      <c r="K101">
        <f t="shared" si="8"/>
        <v>0.0278030905248463</v>
      </c>
      <c r="L101">
        <f t="shared" si="14"/>
        <v>3.10426080892608</v>
      </c>
      <c r="M101">
        <f t="shared" si="9"/>
        <v>28.9059090909091</v>
      </c>
      <c r="N101">
        <f t="shared" si="10"/>
        <v>0.780478983535924</v>
      </c>
      <c r="O101">
        <f t="shared" si="11"/>
        <v>-977.2</v>
      </c>
      <c r="P101">
        <f t="shared" si="12"/>
        <v>-0.281264481292688</v>
      </c>
      <c r="Q101" t="str">
        <f t="shared" si="13"/>
        <v>2025-03</v>
      </c>
    </row>
    <row r="102" spans="1:17">
      <c r="A102" t="s">
        <v>119</v>
      </c>
      <c r="B102" s="10">
        <v>45698</v>
      </c>
      <c r="C102" t="s">
        <v>11</v>
      </c>
      <c r="D102" t="s">
        <v>12</v>
      </c>
      <c r="E102">
        <v>3361.77</v>
      </c>
      <c r="F102">
        <v>3225.3</v>
      </c>
      <c r="G102" s="6">
        <v>147591</v>
      </c>
      <c r="H102" s="6">
        <v>4755</v>
      </c>
      <c r="I102" s="6">
        <v>277</v>
      </c>
      <c r="J102">
        <v>10032.68</v>
      </c>
      <c r="K102">
        <f t="shared" si="8"/>
        <v>0.0322174116307905</v>
      </c>
      <c r="L102">
        <f t="shared" si="14"/>
        <v>0.678296529968454</v>
      </c>
      <c r="M102">
        <f t="shared" si="9"/>
        <v>11.6436823104693</v>
      </c>
      <c r="N102">
        <f t="shared" si="10"/>
        <v>3.11061916720925</v>
      </c>
      <c r="O102">
        <f t="shared" si="11"/>
        <v>6807.38</v>
      </c>
      <c r="P102">
        <f t="shared" si="12"/>
        <v>0.678520594696532</v>
      </c>
      <c r="Q102" t="str">
        <f t="shared" si="13"/>
        <v>2025-02</v>
      </c>
    </row>
    <row r="103" spans="1:17">
      <c r="A103" t="s">
        <v>120</v>
      </c>
      <c r="B103" s="10">
        <v>45668</v>
      </c>
      <c r="C103" t="s">
        <v>22</v>
      </c>
      <c r="D103" t="s">
        <v>17</v>
      </c>
      <c r="E103">
        <v>7462.01</v>
      </c>
      <c r="F103">
        <v>7595.04</v>
      </c>
      <c r="G103" s="6">
        <v>189630</v>
      </c>
      <c r="H103" s="6">
        <v>2389</v>
      </c>
      <c r="I103" s="6">
        <v>268</v>
      </c>
      <c r="J103">
        <v>13205.85</v>
      </c>
      <c r="K103">
        <f t="shared" si="8"/>
        <v>0.0125982175816063</v>
      </c>
      <c r="L103">
        <f t="shared" si="14"/>
        <v>3.17917120133947</v>
      </c>
      <c r="M103">
        <f t="shared" si="9"/>
        <v>28.3397014925373</v>
      </c>
      <c r="N103">
        <f t="shared" si="10"/>
        <v>1.7387466030462</v>
      </c>
      <c r="O103">
        <f t="shared" si="11"/>
        <v>5610.81</v>
      </c>
      <c r="P103">
        <f t="shared" si="12"/>
        <v>0.42487306761776</v>
      </c>
      <c r="Q103" t="str">
        <f t="shared" si="13"/>
        <v>2025-01</v>
      </c>
    </row>
    <row r="104" spans="1:17">
      <c r="A104" t="s">
        <v>121</v>
      </c>
      <c r="B104" s="10">
        <v>45709</v>
      </c>
      <c r="C104" t="s">
        <v>24</v>
      </c>
      <c r="D104" t="s">
        <v>12</v>
      </c>
      <c r="E104">
        <v>6614.1</v>
      </c>
      <c r="F104">
        <v>5932.1</v>
      </c>
      <c r="G104" s="6">
        <v>175761</v>
      </c>
      <c r="H104" s="6">
        <v>4515</v>
      </c>
      <c r="I104" s="6">
        <v>649</v>
      </c>
      <c r="J104">
        <v>28462.28</v>
      </c>
      <c r="K104">
        <f t="shared" si="8"/>
        <v>0.0256882926246437</v>
      </c>
      <c r="L104">
        <f t="shared" si="14"/>
        <v>1.31386489479513</v>
      </c>
      <c r="M104">
        <f t="shared" si="9"/>
        <v>9.14036979969183</v>
      </c>
      <c r="N104">
        <f t="shared" si="10"/>
        <v>4.79801082247433</v>
      </c>
      <c r="O104">
        <f t="shared" si="11"/>
        <v>22530.18</v>
      </c>
      <c r="P104">
        <f t="shared" si="12"/>
        <v>0.791580295043124</v>
      </c>
      <c r="Q104" t="str">
        <f t="shared" si="13"/>
        <v>2025-02</v>
      </c>
    </row>
    <row r="105" spans="1:17">
      <c r="A105" t="s">
        <v>122</v>
      </c>
      <c r="B105" s="10">
        <v>45690</v>
      </c>
      <c r="C105" t="s">
        <v>22</v>
      </c>
      <c r="D105" t="s">
        <v>12</v>
      </c>
      <c r="E105">
        <v>4895.83</v>
      </c>
      <c r="F105">
        <v>4561.4</v>
      </c>
      <c r="G105" s="6">
        <v>151629</v>
      </c>
      <c r="H105" s="6">
        <v>4739</v>
      </c>
      <c r="I105" s="6">
        <v>583</v>
      </c>
      <c r="J105">
        <v>13032.2</v>
      </c>
      <c r="K105">
        <f t="shared" si="8"/>
        <v>0.0312539158076621</v>
      </c>
      <c r="L105">
        <f t="shared" si="14"/>
        <v>0.962523739185482</v>
      </c>
      <c r="M105">
        <f t="shared" si="9"/>
        <v>7.82401372212693</v>
      </c>
      <c r="N105">
        <f t="shared" si="10"/>
        <v>2.85706142850879</v>
      </c>
      <c r="O105">
        <f t="shared" si="11"/>
        <v>8470.8</v>
      </c>
      <c r="P105">
        <f t="shared" si="12"/>
        <v>0.649990024708031</v>
      </c>
      <c r="Q105" t="str">
        <f t="shared" si="13"/>
        <v>2025-02</v>
      </c>
    </row>
    <row r="106" spans="1:17">
      <c r="A106" t="s">
        <v>123</v>
      </c>
      <c r="B106" s="10">
        <v>45805</v>
      </c>
      <c r="C106" t="s">
        <v>19</v>
      </c>
      <c r="D106" t="s">
        <v>20</v>
      </c>
      <c r="E106">
        <v>3177.46</v>
      </c>
      <c r="F106">
        <v>3459.6</v>
      </c>
      <c r="G106" s="6">
        <v>120702</v>
      </c>
      <c r="H106" s="6">
        <v>2467</v>
      </c>
      <c r="I106" s="6">
        <v>288</v>
      </c>
      <c r="J106">
        <v>12982.87</v>
      </c>
      <c r="K106">
        <f t="shared" si="8"/>
        <v>0.0204387665490216</v>
      </c>
      <c r="L106">
        <f t="shared" si="14"/>
        <v>1.4023510336441</v>
      </c>
      <c r="M106">
        <f t="shared" si="9"/>
        <v>12.0125</v>
      </c>
      <c r="N106">
        <f t="shared" si="10"/>
        <v>3.75270840559602</v>
      </c>
      <c r="O106">
        <f t="shared" si="11"/>
        <v>9523.27</v>
      </c>
      <c r="P106">
        <f t="shared" si="12"/>
        <v>0.733525792062926</v>
      </c>
      <c r="Q106" t="str">
        <f t="shared" si="13"/>
        <v>2025-05</v>
      </c>
    </row>
    <row r="107" spans="1:17">
      <c r="A107" t="s">
        <v>124</v>
      </c>
      <c r="B107" s="10">
        <v>45752</v>
      </c>
      <c r="C107" t="s">
        <v>11</v>
      </c>
      <c r="D107" t="s">
        <v>20</v>
      </c>
      <c r="E107">
        <v>7871.82</v>
      </c>
      <c r="F107">
        <v>7263.22</v>
      </c>
      <c r="G107" s="6">
        <v>176077</v>
      </c>
      <c r="H107" s="6">
        <v>2054</v>
      </c>
      <c r="I107" s="6">
        <v>402</v>
      </c>
      <c r="J107">
        <v>10129.93</v>
      </c>
      <c r="K107">
        <f t="shared" si="8"/>
        <v>0.011665350954412</v>
      </c>
      <c r="L107">
        <f t="shared" ref="L107:L138" si="15">F107/H107</f>
        <v>3.53613437195716</v>
      </c>
      <c r="M107">
        <f t="shared" si="9"/>
        <v>18.0677114427861</v>
      </c>
      <c r="N107">
        <f t="shared" si="10"/>
        <v>1.39468858164836</v>
      </c>
      <c r="O107">
        <f t="shared" si="11"/>
        <v>2866.71</v>
      </c>
      <c r="P107">
        <f t="shared" si="12"/>
        <v>0.282994058201784</v>
      </c>
      <c r="Q107" t="str">
        <f t="shared" si="13"/>
        <v>2025-04</v>
      </c>
    </row>
    <row r="108" spans="1:17">
      <c r="A108" t="s">
        <v>125</v>
      </c>
      <c r="B108" s="10">
        <v>45774</v>
      </c>
      <c r="C108" t="s">
        <v>24</v>
      </c>
      <c r="D108" t="s">
        <v>15</v>
      </c>
      <c r="E108">
        <v>4095.06</v>
      </c>
      <c r="F108">
        <v>3583.48</v>
      </c>
      <c r="G108" s="6">
        <v>134667</v>
      </c>
      <c r="H108" s="6">
        <v>4062</v>
      </c>
      <c r="I108" s="6">
        <v>556</v>
      </c>
      <c r="J108">
        <v>20281.1</v>
      </c>
      <c r="K108">
        <f t="shared" si="8"/>
        <v>0.0301632916750206</v>
      </c>
      <c r="L108">
        <f t="shared" si="15"/>
        <v>0.88219596258001</v>
      </c>
      <c r="M108">
        <f t="shared" si="9"/>
        <v>6.44510791366906</v>
      </c>
      <c r="N108">
        <f t="shared" si="10"/>
        <v>5.65961021130298</v>
      </c>
      <c r="O108">
        <f t="shared" si="11"/>
        <v>16697.62</v>
      </c>
      <c r="P108">
        <f t="shared" si="12"/>
        <v>0.823309386571734</v>
      </c>
      <c r="Q108" t="str">
        <f t="shared" si="13"/>
        <v>2025-04</v>
      </c>
    </row>
    <row r="109" spans="1:17">
      <c r="A109" t="s">
        <v>126</v>
      </c>
      <c r="B109" s="10">
        <v>45716</v>
      </c>
      <c r="C109" t="s">
        <v>22</v>
      </c>
      <c r="D109" t="s">
        <v>17</v>
      </c>
      <c r="E109">
        <v>8002.17</v>
      </c>
      <c r="F109">
        <v>7986.64</v>
      </c>
      <c r="G109" s="6">
        <v>178492</v>
      </c>
      <c r="H109" s="6">
        <v>2018</v>
      </c>
      <c r="I109" s="6">
        <v>385</v>
      </c>
      <c r="J109">
        <v>10933.24</v>
      </c>
      <c r="K109">
        <f t="shared" si="8"/>
        <v>0.0113058288326648</v>
      </c>
      <c r="L109">
        <f t="shared" si="15"/>
        <v>3.95770069375619</v>
      </c>
      <c r="M109">
        <f t="shared" si="9"/>
        <v>20.7445194805195</v>
      </c>
      <c r="N109">
        <f t="shared" si="10"/>
        <v>1.36894113168992</v>
      </c>
      <c r="O109">
        <f t="shared" si="11"/>
        <v>2946.6</v>
      </c>
      <c r="P109">
        <f t="shared" si="12"/>
        <v>0.269508398242424</v>
      </c>
      <c r="Q109" t="str">
        <f t="shared" si="13"/>
        <v>2025-02</v>
      </c>
    </row>
    <row r="110" spans="1:17">
      <c r="A110" t="s">
        <v>127</v>
      </c>
      <c r="B110" s="10">
        <v>45775</v>
      </c>
      <c r="C110" t="s">
        <v>19</v>
      </c>
      <c r="D110" t="s">
        <v>17</v>
      </c>
      <c r="E110">
        <v>9684.06</v>
      </c>
      <c r="F110">
        <v>9891</v>
      </c>
      <c r="G110" s="6">
        <v>145812</v>
      </c>
      <c r="H110" s="6">
        <v>2588</v>
      </c>
      <c r="I110" s="6">
        <v>340</v>
      </c>
      <c r="J110">
        <v>12454.41</v>
      </c>
      <c r="K110">
        <f t="shared" si="8"/>
        <v>0.0177488821221847</v>
      </c>
      <c r="L110">
        <f t="shared" si="15"/>
        <v>3.82187017001546</v>
      </c>
      <c r="M110">
        <f t="shared" si="9"/>
        <v>29.0911764705882</v>
      </c>
      <c r="N110">
        <f t="shared" si="10"/>
        <v>1.25916590840158</v>
      </c>
      <c r="O110">
        <f t="shared" si="11"/>
        <v>2563.41</v>
      </c>
      <c r="P110">
        <f t="shared" si="12"/>
        <v>0.205823479394046</v>
      </c>
      <c r="Q110" t="str">
        <f t="shared" si="13"/>
        <v>2025-04</v>
      </c>
    </row>
    <row r="111" spans="1:17">
      <c r="A111" t="s">
        <v>128</v>
      </c>
      <c r="B111" s="10">
        <v>45810</v>
      </c>
      <c r="C111" t="s">
        <v>19</v>
      </c>
      <c r="D111" t="s">
        <v>12</v>
      </c>
      <c r="E111">
        <v>7282.05</v>
      </c>
      <c r="F111">
        <v>6742.3</v>
      </c>
      <c r="G111" s="6">
        <v>186329</v>
      </c>
      <c r="H111" s="6">
        <v>2426</v>
      </c>
      <c r="I111" s="6">
        <v>475</v>
      </c>
      <c r="J111">
        <v>13030.17</v>
      </c>
      <c r="K111">
        <f t="shared" si="8"/>
        <v>0.013019980786673</v>
      </c>
      <c r="L111">
        <f t="shared" si="15"/>
        <v>2.77918384171476</v>
      </c>
      <c r="M111">
        <f t="shared" si="9"/>
        <v>14.1943157894737</v>
      </c>
      <c r="N111">
        <f t="shared" si="10"/>
        <v>1.93260015128369</v>
      </c>
      <c r="O111">
        <f t="shared" si="11"/>
        <v>6287.87</v>
      </c>
      <c r="P111">
        <f t="shared" si="12"/>
        <v>0.482562391741627</v>
      </c>
      <c r="Q111" t="str">
        <f t="shared" si="13"/>
        <v>2025-06</v>
      </c>
    </row>
    <row r="112" spans="1:17">
      <c r="A112" t="s">
        <v>129</v>
      </c>
      <c r="B112" s="10">
        <v>45640</v>
      </c>
      <c r="C112" t="s">
        <v>22</v>
      </c>
      <c r="D112" t="s">
        <v>17</v>
      </c>
      <c r="E112">
        <v>5491.81</v>
      </c>
      <c r="F112">
        <v>5642.03</v>
      </c>
      <c r="G112" s="6">
        <v>147883</v>
      </c>
      <c r="H112" s="6">
        <v>1463</v>
      </c>
      <c r="I112" s="6">
        <v>163</v>
      </c>
      <c r="J112">
        <v>3330.38</v>
      </c>
      <c r="K112">
        <f t="shared" si="8"/>
        <v>0.00989295591785398</v>
      </c>
      <c r="L112">
        <f t="shared" si="15"/>
        <v>3.85647983595352</v>
      </c>
      <c r="M112">
        <f t="shared" si="9"/>
        <v>34.6136809815951</v>
      </c>
      <c r="N112">
        <f t="shared" si="10"/>
        <v>0.590280448703747</v>
      </c>
      <c r="O112">
        <f t="shared" si="11"/>
        <v>-2311.65</v>
      </c>
      <c r="P112">
        <f t="shared" si="12"/>
        <v>-0.694109981443559</v>
      </c>
      <c r="Q112" t="str">
        <f t="shared" si="13"/>
        <v>2024-12</v>
      </c>
    </row>
    <row r="113" spans="1:17">
      <c r="A113" t="s">
        <v>130</v>
      </c>
      <c r="B113" s="10">
        <v>45807</v>
      </c>
      <c r="C113" t="s">
        <v>19</v>
      </c>
      <c r="D113" t="s">
        <v>12</v>
      </c>
      <c r="E113">
        <v>3812.51</v>
      </c>
      <c r="F113">
        <v>3102.62</v>
      </c>
      <c r="G113" s="6">
        <v>134164</v>
      </c>
      <c r="H113" s="6">
        <v>3192</v>
      </c>
      <c r="I113" s="6">
        <v>339</v>
      </c>
      <c r="J113">
        <v>7194.21</v>
      </c>
      <c r="K113">
        <f t="shared" si="8"/>
        <v>0.0237917772278704</v>
      </c>
      <c r="L113">
        <f t="shared" si="15"/>
        <v>0.971998746867168</v>
      </c>
      <c r="M113">
        <f t="shared" si="9"/>
        <v>9.15227138643068</v>
      </c>
      <c r="N113">
        <f t="shared" si="10"/>
        <v>2.3187531827939</v>
      </c>
      <c r="O113">
        <f t="shared" si="11"/>
        <v>4091.59</v>
      </c>
      <c r="P113">
        <f t="shared" si="12"/>
        <v>0.568733745609316</v>
      </c>
      <c r="Q113" t="str">
        <f t="shared" si="13"/>
        <v>2025-05</v>
      </c>
    </row>
    <row r="114" spans="1:17">
      <c r="A114" t="s">
        <v>131</v>
      </c>
      <c r="B114" s="10">
        <v>45639</v>
      </c>
      <c r="C114" t="s">
        <v>11</v>
      </c>
      <c r="D114" t="s">
        <v>12</v>
      </c>
      <c r="E114">
        <v>8988.22</v>
      </c>
      <c r="F114">
        <v>9087.97</v>
      </c>
      <c r="G114" s="6">
        <v>127750</v>
      </c>
      <c r="H114" s="6">
        <v>5551</v>
      </c>
      <c r="I114" s="6">
        <v>393</v>
      </c>
      <c r="J114">
        <v>13450.51</v>
      </c>
      <c r="K114">
        <f t="shared" si="8"/>
        <v>0.0434520547945206</v>
      </c>
      <c r="L114">
        <f t="shared" si="15"/>
        <v>1.63717708520987</v>
      </c>
      <c r="M114">
        <f t="shared" si="9"/>
        <v>23.1246055979644</v>
      </c>
      <c r="N114">
        <f t="shared" si="10"/>
        <v>1.48003459518462</v>
      </c>
      <c r="O114">
        <f t="shared" si="11"/>
        <v>4362.54</v>
      </c>
      <c r="P114">
        <f t="shared" si="12"/>
        <v>0.324340117958353</v>
      </c>
      <c r="Q114" t="str">
        <f t="shared" si="13"/>
        <v>2024-12</v>
      </c>
    </row>
    <row r="115" spans="1:17">
      <c r="A115" t="s">
        <v>132</v>
      </c>
      <c r="B115" s="10">
        <v>45639</v>
      </c>
      <c r="C115" t="s">
        <v>22</v>
      </c>
      <c r="D115" t="s">
        <v>20</v>
      </c>
      <c r="E115">
        <v>3684.84</v>
      </c>
      <c r="F115">
        <v>3491.33</v>
      </c>
      <c r="G115" s="6">
        <v>99153</v>
      </c>
      <c r="H115" s="6">
        <v>2036</v>
      </c>
      <c r="I115" s="6">
        <v>382</v>
      </c>
      <c r="J115">
        <v>13065.99</v>
      </c>
      <c r="K115">
        <f t="shared" si="8"/>
        <v>0.0205339223220679</v>
      </c>
      <c r="L115">
        <f t="shared" si="15"/>
        <v>1.71479862475442</v>
      </c>
      <c r="M115">
        <f t="shared" si="9"/>
        <v>9.13960732984293</v>
      </c>
      <c r="N115">
        <f t="shared" si="10"/>
        <v>3.74241048540241</v>
      </c>
      <c r="O115">
        <f t="shared" si="11"/>
        <v>9574.66</v>
      </c>
      <c r="P115">
        <f t="shared" si="12"/>
        <v>0.732792540021843</v>
      </c>
      <c r="Q115" t="str">
        <f t="shared" si="13"/>
        <v>2024-12</v>
      </c>
    </row>
    <row r="116" spans="1:17">
      <c r="A116" t="s">
        <v>133</v>
      </c>
      <c r="B116" s="10">
        <v>45754</v>
      </c>
      <c r="C116" t="s">
        <v>22</v>
      </c>
      <c r="D116" t="s">
        <v>20</v>
      </c>
      <c r="E116">
        <v>4212.41</v>
      </c>
      <c r="F116">
        <v>3918.2</v>
      </c>
      <c r="G116" s="6">
        <v>171690</v>
      </c>
      <c r="H116" s="6">
        <v>1892</v>
      </c>
      <c r="I116" s="6">
        <v>232</v>
      </c>
      <c r="J116">
        <v>7413.59</v>
      </c>
      <c r="K116">
        <f t="shared" si="8"/>
        <v>0.0110198613780651</v>
      </c>
      <c r="L116">
        <f t="shared" si="15"/>
        <v>2.07093023255814</v>
      </c>
      <c r="M116">
        <f t="shared" si="9"/>
        <v>16.8887931034483</v>
      </c>
      <c r="N116">
        <f t="shared" si="10"/>
        <v>1.89209075595937</v>
      </c>
      <c r="O116">
        <f t="shared" si="11"/>
        <v>3495.39</v>
      </c>
      <c r="P116">
        <f t="shared" si="12"/>
        <v>0.471484125774422</v>
      </c>
      <c r="Q116" t="str">
        <f t="shared" si="13"/>
        <v>2025-04</v>
      </c>
    </row>
    <row r="117" spans="1:17">
      <c r="A117" t="s">
        <v>134</v>
      </c>
      <c r="B117" s="10">
        <v>45667</v>
      </c>
      <c r="C117" t="s">
        <v>19</v>
      </c>
      <c r="D117" t="s">
        <v>20</v>
      </c>
      <c r="E117">
        <v>7310.95</v>
      </c>
      <c r="F117">
        <v>7241.7</v>
      </c>
      <c r="G117" s="6">
        <v>196304</v>
      </c>
      <c r="H117" s="6">
        <v>8710</v>
      </c>
      <c r="I117" s="6">
        <v>965</v>
      </c>
      <c r="J117">
        <v>20611.55</v>
      </c>
      <c r="K117">
        <f t="shared" si="8"/>
        <v>0.0443699568016953</v>
      </c>
      <c r="L117">
        <f t="shared" si="15"/>
        <v>0.83142365097589</v>
      </c>
      <c r="M117">
        <f t="shared" si="9"/>
        <v>7.50435233160622</v>
      </c>
      <c r="N117">
        <f t="shared" si="10"/>
        <v>2.84623085739536</v>
      </c>
      <c r="O117">
        <f t="shared" si="11"/>
        <v>13369.85</v>
      </c>
      <c r="P117">
        <f t="shared" si="12"/>
        <v>0.64865815525761</v>
      </c>
      <c r="Q117" t="str">
        <f t="shared" si="13"/>
        <v>2025-01</v>
      </c>
    </row>
    <row r="118" spans="1:17">
      <c r="A118" t="s">
        <v>135</v>
      </c>
      <c r="B118" s="10">
        <v>45735</v>
      </c>
      <c r="C118" t="s">
        <v>22</v>
      </c>
      <c r="D118" t="s">
        <v>20</v>
      </c>
      <c r="E118">
        <v>5622.29</v>
      </c>
      <c r="F118">
        <v>5553.46</v>
      </c>
      <c r="G118" s="6">
        <v>184625</v>
      </c>
      <c r="H118" s="6">
        <v>5858</v>
      </c>
      <c r="I118" s="6">
        <v>179</v>
      </c>
      <c r="J118">
        <v>6281.84</v>
      </c>
      <c r="K118">
        <f t="shared" si="8"/>
        <v>0.0317291807718348</v>
      </c>
      <c r="L118">
        <f t="shared" si="15"/>
        <v>0.948012973711164</v>
      </c>
      <c r="M118">
        <f t="shared" si="9"/>
        <v>31.0249162011173</v>
      </c>
      <c r="N118">
        <f t="shared" si="10"/>
        <v>1.1311578727496</v>
      </c>
      <c r="O118">
        <f t="shared" si="11"/>
        <v>728.38</v>
      </c>
      <c r="P118">
        <f t="shared" si="12"/>
        <v>0.115950103791246</v>
      </c>
      <c r="Q118" t="str">
        <f t="shared" si="13"/>
        <v>2025-03</v>
      </c>
    </row>
    <row r="119" spans="1:17">
      <c r="A119" t="s">
        <v>136</v>
      </c>
      <c r="B119" s="10">
        <v>45719</v>
      </c>
      <c r="C119" t="s">
        <v>11</v>
      </c>
      <c r="D119" t="s">
        <v>17</v>
      </c>
      <c r="E119">
        <v>8995.43</v>
      </c>
      <c r="F119">
        <v>8973.91</v>
      </c>
      <c r="G119" s="6">
        <v>65860</v>
      </c>
      <c r="H119" s="6">
        <v>1196</v>
      </c>
      <c r="I119" s="6">
        <v>210</v>
      </c>
      <c r="J119">
        <v>5226.49</v>
      </c>
      <c r="K119">
        <f t="shared" si="8"/>
        <v>0.0181597327664743</v>
      </c>
      <c r="L119">
        <f t="shared" si="15"/>
        <v>7.50326923076923</v>
      </c>
      <c r="M119">
        <f t="shared" si="9"/>
        <v>42.7329047619048</v>
      </c>
      <c r="N119">
        <f t="shared" si="10"/>
        <v>0.582409451398554</v>
      </c>
      <c r="O119">
        <f t="shared" si="11"/>
        <v>-3747.42</v>
      </c>
      <c r="P119">
        <f t="shared" si="12"/>
        <v>-0.717005102851053</v>
      </c>
      <c r="Q119" t="str">
        <f t="shared" si="13"/>
        <v>2025-03</v>
      </c>
    </row>
    <row r="120" spans="1:17">
      <c r="A120" t="s">
        <v>137</v>
      </c>
      <c r="B120" s="10">
        <v>45697</v>
      </c>
      <c r="C120" t="s">
        <v>22</v>
      </c>
      <c r="D120" t="s">
        <v>12</v>
      </c>
      <c r="E120">
        <v>3493.98</v>
      </c>
      <c r="F120">
        <v>3468.56</v>
      </c>
      <c r="G120" s="6">
        <v>149919</v>
      </c>
      <c r="H120" s="6">
        <v>5922</v>
      </c>
      <c r="I120" s="6">
        <v>705</v>
      </c>
      <c r="J120">
        <v>14660.71</v>
      </c>
      <c r="K120">
        <f t="shared" si="8"/>
        <v>0.039501330718588</v>
      </c>
      <c r="L120">
        <f t="shared" si="15"/>
        <v>0.585707531239446</v>
      </c>
      <c r="M120">
        <f t="shared" si="9"/>
        <v>4.91994326241135</v>
      </c>
      <c r="N120">
        <f t="shared" si="10"/>
        <v>4.22674250986</v>
      </c>
      <c r="O120">
        <f t="shared" si="11"/>
        <v>11192.15</v>
      </c>
      <c r="P120">
        <f t="shared" si="12"/>
        <v>0.763411185406437</v>
      </c>
      <c r="Q120" t="str">
        <f t="shared" si="13"/>
        <v>2025-02</v>
      </c>
    </row>
    <row r="121" spans="1:17">
      <c r="A121" t="s">
        <v>138</v>
      </c>
      <c r="B121" s="10">
        <v>45797</v>
      </c>
      <c r="C121" t="s">
        <v>24</v>
      </c>
      <c r="D121" t="s">
        <v>12</v>
      </c>
      <c r="E121">
        <v>7100.43</v>
      </c>
      <c r="F121">
        <v>7683.16</v>
      </c>
      <c r="G121" s="6">
        <v>124319</v>
      </c>
      <c r="H121" s="6">
        <v>3473</v>
      </c>
      <c r="I121" s="6">
        <v>495</v>
      </c>
      <c r="J121">
        <v>18445.79</v>
      </c>
      <c r="K121">
        <f t="shared" si="8"/>
        <v>0.0279361963979762</v>
      </c>
      <c r="L121">
        <f t="shared" si="15"/>
        <v>2.21225453498416</v>
      </c>
      <c r="M121">
        <f t="shared" si="9"/>
        <v>15.5215353535354</v>
      </c>
      <c r="N121">
        <f t="shared" si="10"/>
        <v>2.40080774056508</v>
      </c>
      <c r="O121">
        <f t="shared" si="11"/>
        <v>10762.63</v>
      </c>
      <c r="P121">
        <f t="shared" si="12"/>
        <v>0.583473518889676</v>
      </c>
      <c r="Q121" t="str">
        <f t="shared" si="13"/>
        <v>2025-05</v>
      </c>
    </row>
    <row r="122" spans="1:17">
      <c r="A122" t="s">
        <v>139</v>
      </c>
      <c r="B122" s="10">
        <v>45784</v>
      </c>
      <c r="C122" t="s">
        <v>11</v>
      </c>
      <c r="D122" t="s">
        <v>17</v>
      </c>
      <c r="E122">
        <v>5717.19</v>
      </c>
      <c r="F122">
        <v>5677.09</v>
      </c>
      <c r="G122" s="6">
        <v>149623</v>
      </c>
      <c r="H122" s="6">
        <v>2483</v>
      </c>
      <c r="I122" s="6">
        <v>463</v>
      </c>
      <c r="J122">
        <v>15625.13</v>
      </c>
      <c r="K122">
        <f t="shared" si="8"/>
        <v>0.0165950422060779</v>
      </c>
      <c r="L122">
        <f t="shared" si="15"/>
        <v>2.28638340716875</v>
      </c>
      <c r="M122">
        <f t="shared" si="9"/>
        <v>12.2615334773218</v>
      </c>
      <c r="N122">
        <f t="shared" si="10"/>
        <v>2.75231324498995</v>
      </c>
      <c r="O122">
        <f t="shared" si="11"/>
        <v>9948.04</v>
      </c>
      <c r="P122">
        <f t="shared" si="12"/>
        <v>0.636669262911733</v>
      </c>
      <c r="Q122" t="str">
        <f t="shared" si="13"/>
        <v>2025-05</v>
      </c>
    </row>
    <row r="123" spans="1:17">
      <c r="A123" t="s">
        <v>140</v>
      </c>
      <c r="B123" s="10">
        <v>45673</v>
      </c>
      <c r="C123" t="s">
        <v>22</v>
      </c>
      <c r="D123" t="s">
        <v>12</v>
      </c>
      <c r="E123">
        <v>6819.32</v>
      </c>
      <c r="F123">
        <v>7381.5</v>
      </c>
      <c r="G123" s="6">
        <v>53378</v>
      </c>
      <c r="H123" s="6">
        <v>2137</v>
      </c>
      <c r="I123" s="6">
        <v>410</v>
      </c>
      <c r="J123">
        <v>12949.06</v>
      </c>
      <c r="K123">
        <f t="shared" si="8"/>
        <v>0.0400352205028289</v>
      </c>
      <c r="L123">
        <f t="shared" si="15"/>
        <v>3.45414131960693</v>
      </c>
      <c r="M123">
        <f t="shared" si="9"/>
        <v>18.0036585365854</v>
      </c>
      <c r="N123">
        <f t="shared" si="10"/>
        <v>1.75425861952178</v>
      </c>
      <c r="O123">
        <f t="shared" si="11"/>
        <v>5567.56</v>
      </c>
      <c r="P123">
        <f t="shared" si="12"/>
        <v>0.429958622479161</v>
      </c>
      <c r="Q123" t="str">
        <f t="shared" si="13"/>
        <v>2025-01</v>
      </c>
    </row>
    <row r="124" spans="1:17">
      <c r="A124" t="s">
        <v>141</v>
      </c>
      <c r="B124" s="10">
        <v>45752</v>
      </c>
      <c r="C124" t="s">
        <v>19</v>
      </c>
      <c r="D124" t="s">
        <v>12</v>
      </c>
      <c r="E124">
        <v>9728.33</v>
      </c>
      <c r="F124">
        <v>10424.93</v>
      </c>
      <c r="G124" s="6">
        <v>165946</v>
      </c>
      <c r="H124" s="6">
        <v>4099</v>
      </c>
      <c r="I124" s="6">
        <v>151</v>
      </c>
      <c r="J124">
        <v>3906.93</v>
      </c>
      <c r="K124">
        <f t="shared" si="8"/>
        <v>0.0247008062863823</v>
      </c>
      <c r="L124">
        <f t="shared" si="15"/>
        <v>2.54328616735789</v>
      </c>
      <c r="M124">
        <f t="shared" si="9"/>
        <v>69.0392715231788</v>
      </c>
      <c r="N124">
        <f t="shared" si="10"/>
        <v>0.37476798405361</v>
      </c>
      <c r="O124">
        <f t="shared" si="11"/>
        <v>-6518</v>
      </c>
      <c r="P124">
        <f t="shared" si="12"/>
        <v>-1.6683175792758</v>
      </c>
      <c r="Q124" t="str">
        <f t="shared" si="13"/>
        <v>2025-04</v>
      </c>
    </row>
    <row r="125" spans="1:17">
      <c r="A125" t="s">
        <v>142</v>
      </c>
      <c r="B125" s="10">
        <v>45814</v>
      </c>
      <c r="C125" t="s">
        <v>19</v>
      </c>
      <c r="D125" t="s">
        <v>12</v>
      </c>
      <c r="E125">
        <v>3485.53</v>
      </c>
      <c r="F125">
        <v>2893.8</v>
      </c>
      <c r="G125" s="6">
        <v>66013</v>
      </c>
      <c r="H125" s="6">
        <v>1830</v>
      </c>
      <c r="I125" s="6">
        <v>275</v>
      </c>
      <c r="J125">
        <v>5650.33</v>
      </c>
      <c r="K125">
        <f t="shared" si="8"/>
        <v>0.0277218123702907</v>
      </c>
      <c r="L125">
        <f t="shared" si="15"/>
        <v>1.58131147540984</v>
      </c>
      <c r="M125">
        <f t="shared" si="9"/>
        <v>10.5229090909091</v>
      </c>
      <c r="N125">
        <f t="shared" si="10"/>
        <v>1.9525641025641</v>
      </c>
      <c r="O125">
        <f t="shared" si="11"/>
        <v>2756.53</v>
      </c>
      <c r="P125">
        <f t="shared" si="12"/>
        <v>0.487852921864741</v>
      </c>
      <c r="Q125" t="str">
        <f t="shared" si="13"/>
        <v>2025-06</v>
      </c>
    </row>
    <row r="126" spans="1:17">
      <c r="A126" t="s">
        <v>143</v>
      </c>
      <c r="B126" s="10">
        <v>45746</v>
      </c>
      <c r="C126" t="s">
        <v>11</v>
      </c>
      <c r="D126" t="s">
        <v>20</v>
      </c>
      <c r="E126">
        <v>3661.1</v>
      </c>
      <c r="F126">
        <v>3679.05</v>
      </c>
      <c r="G126" s="6">
        <v>163376</v>
      </c>
      <c r="H126" s="6">
        <v>7011</v>
      </c>
      <c r="I126" s="6">
        <v>514</v>
      </c>
      <c r="J126">
        <v>11377.73</v>
      </c>
      <c r="K126">
        <f t="shared" si="8"/>
        <v>0.0429132797962981</v>
      </c>
      <c r="L126">
        <f t="shared" si="15"/>
        <v>0.524753958065896</v>
      </c>
      <c r="M126">
        <f t="shared" si="9"/>
        <v>7.15768482490272</v>
      </c>
      <c r="N126">
        <f t="shared" si="10"/>
        <v>3.09257281091586</v>
      </c>
      <c r="O126">
        <f t="shared" si="11"/>
        <v>7698.68</v>
      </c>
      <c r="P126">
        <f t="shared" si="12"/>
        <v>0.676644638253852</v>
      </c>
      <c r="Q126" t="str">
        <f t="shared" si="13"/>
        <v>2025-03</v>
      </c>
    </row>
    <row r="127" spans="1:17">
      <c r="A127" t="s">
        <v>144</v>
      </c>
      <c r="B127" s="10">
        <v>45766</v>
      </c>
      <c r="C127" t="s">
        <v>24</v>
      </c>
      <c r="D127" t="s">
        <v>17</v>
      </c>
      <c r="E127">
        <v>5232.83</v>
      </c>
      <c r="F127">
        <v>5512.59</v>
      </c>
      <c r="G127" s="6">
        <v>139628</v>
      </c>
      <c r="H127" s="6">
        <v>1738</v>
      </c>
      <c r="I127" s="6">
        <v>81</v>
      </c>
      <c r="J127">
        <v>1676.55</v>
      </c>
      <c r="K127">
        <f t="shared" si="8"/>
        <v>0.012447360128341</v>
      </c>
      <c r="L127">
        <f t="shared" si="15"/>
        <v>3.17180092059839</v>
      </c>
      <c r="M127">
        <f t="shared" si="9"/>
        <v>68.0566666666667</v>
      </c>
      <c r="N127">
        <f t="shared" si="10"/>
        <v>0.304131089016234</v>
      </c>
      <c r="O127">
        <f t="shared" si="11"/>
        <v>-3836.04</v>
      </c>
      <c r="P127">
        <f t="shared" si="12"/>
        <v>-2.28805582893442</v>
      </c>
      <c r="Q127" t="str">
        <f t="shared" si="13"/>
        <v>2025-04</v>
      </c>
    </row>
    <row r="128" spans="1:17">
      <c r="A128" t="s">
        <v>145</v>
      </c>
      <c r="B128" s="10">
        <v>45777</v>
      </c>
      <c r="C128" t="s">
        <v>11</v>
      </c>
      <c r="D128" t="s">
        <v>15</v>
      </c>
      <c r="E128">
        <v>8701.28</v>
      </c>
      <c r="F128">
        <v>7696.77</v>
      </c>
      <c r="G128" s="6">
        <v>62770</v>
      </c>
      <c r="H128" s="6">
        <v>1245</v>
      </c>
      <c r="I128" s="6">
        <v>249</v>
      </c>
      <c r="J128">
        <v>5862.69</v>
      </c>
      <c r="K128">
        <f t="shared" si="8"/>
        <v>0.0198343157559344</v>
      </c>
      <c r="L128">
        <f t="shared" si="15"/>
        <v>6.18214457831325</v>
      </c>
      <c r="M128">
        <f t="shared" si="9"/>
        <v>30.9107228915663</v>
      </c>
      <c r="N128">
        <f t="shared" si="10"/>
        <v>0.761707833285911</v>
      </c>
      <c r="O128">
        <f t="shared" si="11"/>
        <v>-1834.08</v>
      </c>
      <c r="P128">
        <f t="shared" si="12"/>
        <v>-0.312839328021779</v>
      </c>
      <c r="Q128" t="str">
        <f t="shared" si="13"/>
        <v>2025-04</v>
      </c>
    </row>
    <row r="129" spans="1:17">
      <c r="A129" t="s">
        <v>146</v>
      </c>
      <c r="B129" s="10">
        <v>45698</v>
      </c>
      <c r="C129" t="s">
        <v>22</v>
      </c>
      <c r="D129" t="s">
        <v>17</v>
      </c>
      <c r="E129">
        <v>7877.16</v>
      </c>
      <c r="F129">
        <v>7788.01</v>
      </c>
      <c r="G129" s="6">
        <v>129840</v>
      </c>
      <c r="H129" s="6">
        <v>5797</v>
      </c>
      <c r="I129" s="6">
        <v>480</v>
      </c>
      <c r="J129">
        <v>22235.6</v>
      </c>
      <c r="K129">
        <f t="shared" si="8"/>
        <v>0.044647258163894</v>
      </c>
      <c r="L129">
        <f t="shared" si="15"/>
        <v>1.34345523546662</v>
      </c>
      <c r="M129">
        <f t="shared" si="9"/>
        <v>16.2250208333333</v>
      </c>
      <c r="N129">
        <f t="shared" si="10"/>
        <v>2.85510676026353</v>
      </c>
      <c r="O129">
        <f t="shared" si="11"/>
        <v>14447.59</v>
      </c>
      <c r="P129">
        <f t="shared" si="12"/>
        <v>0.649750400259044</v>
      </c>
      <c r="Q129" t="str">
        <f t="shared" si="13"/>
        <v>2025-02</v>
      </c>
    </row>
    <row r="130" spans="1:17">
      <c r="A130" t="s">
        <v>147</v>
      </c>
      <c r="B130" s="10">
        <v>45680</v>
      </c>
      <c r="C130" t="s">
        <v>22</v>
      </c>
      <c r="D130" t="s">
        <v>20</v>
      </c>
      <c r="E130">
        <v>8145.5</v>
      </c>
      <c r="F130">
        <v>8479.83</v>
      </c>
      <c r="G130" s="6">
        <v>81087</v>
      </c>
      <c r="H130" s="6">
        <v>3895</v>
      </c>
      <c r="I130" s="6">
        <v>231</v>
      </c>
      <c r="J130">
        <v>6574.5</v>
      </c>
      <c r="K130">
        <f t="shared" si="8"/>
        <v>0.0480348267909776</v>
      </c>
      <c r="L130">
        <f t="shared" si="15"/>
        <v>2.17710654685494</v>
      </c>
      <c r="M130">
        <f t="shared" si="9"/>
        <v>36.7092207792208</v>
      </c>
      <c r="N130">
        <f t="shared" si="10"/>
        <v>0.77531035409908</v>
      </c>
      <c r="O130">
        <f t="shared" si="11"/>
        <v>-1905.33</v>
      </c>
      <c r="P130">
        <f t="shared" si="12"/>
        <v>-0.289806068902578</v>
      </c>
      <c r="Q130" t="str">
        <f t="shared" si="13"/>
        <v>2025-01</v>
      </c>
    </row>
    <row r="131" spans="1:17">
      <c r="A131" t="s">
        <v>148</v>
      </c>
      <c r="B131" s="10">
        <v>45744</v>
      </c>
      <c r="C131" t="s">
        <v>11</v>
      </c>
      <c r="D131" t="s">
        <v>17</v>
      </c>
      <c r="E131">
        <v>4242.08</v>
      </c>
      <c r="F131">
        <v>4348.91</v>
      </c>
      <c r="G131" s="6">
        <v>199475</v>
      </c>
      <c r="H131" s="6">
        <v>6783</v>
      </c>
      <c r="I131" s="6">
        <v>258</v>
      </c>
      <c r="J131">
        <v>11404.9</v>
      </c>
      <c r="K131">
        <f t="shared" ref="K131:K194" si="16">H131/G131</f>
        <v>0.0340042611856122</v>
      </c>
      <c r="L131">
        <f t="shared" si="15"/>
        <v>0.641148459383754</v>
      </c>
      <c r="M131">
        <f t="shared" ref="M131:M194" si="17">F131/I131</f>
        <v>16.8562403100775</v>
      </c>
      <c r="N131">
        <f t="shared" ref="N131:N194" si="18">J131/F131</f>
        <v>2.6224732174269</v>
      </c>
      <c r="O131">
        <f t="shared" ref="O131:O194" si="19">J131-F131</f>
        <v>7055.99</v>
      </c>
      <c r="P131">
        <f t="shared" ref="P131:P194" si="20">O131/J131</f>
        <v>0.618680567124657</v>
      </c>
      <c r="Q131" t="str">
        <f t="shared" ref="Q131:Q194" si="21">TEXT(B131,"yyyy-mm")</f>
        <v>2025-03</v>
      </c>
    </row>
    <row r="132" spans="1:17">
      <c r="A132" t="s">
        <v>149</v>
      </c>
      <c r="B132" s="10">
        <v>45770</v>
      </c>
      <c r="C132" t="s">
        <v>24</v>
      </c>
      <c r="D132" t="s">
        <v>12</v>
      </c>
      <c r="E132">
        <v>9933.54</v>
      </c>
      <c r="F132">
        <v>9176.46</v>
      </c>
      <c r="G132" s="6">
        <v>197123</v>
      </c>
      <c r="H132" s="6">
        <v>3693</v>
      </c>
      <c r="I132" s="6">
        <v>271</v>
      </c>
      <c r="J132">
        <v>8444.51</v>
      </c>
      <c r="K132">
        <f t="shared" si="16"/>
        <v>0.0187344957209458</v>
      </c>
      <c r="L132">
        <f t="shared" si="15"/>
        <v>2.48482534524777</v>
      </c>
      <c r="M132">
        <f t="shared" si="17"/>
        <v>33.8614760147601</v>
      </c>
      <c r="N132">
        <f t="shared" si="18"/>
        <v>0.920236125913479</v>
      </c>
      <c r="O132">
        <f t="shared" si="19"/>
        <v>-731.949999999999</v>
      </c>
      <c r="P132">
        <f t="shared" si="20"/>
        <v>-0.0866776165816606</v>
      </c>
      <c r="Q132" t="str">
        <f t="shared" si="21"/>
        <v>2025-04</v>
      </c>
    </row>
    <row r="133" spans="1:17">
      <c r="A133" t="s">
        <v>150</v>
      </c>
      <c r="B133" s="10">
        <v>45764</v>
      </c>
      <c r="C133" t="s">
        <v>14</v>
      </c>
      <c r="D133" t="s">
        <v>15</v>
      </c>
      <c r="E133">
        <v>8434.89</v>
      </c>
      <c r="F133">
        <v>7610.3</v>
      </c>
      <c r="G133" s="6">
        <v>139183</v>
      </c>
      <c r="H133" s="6">
        <v>5327</v>
      </c>
      <c r="I133" s="6">
        <v>212</v>
      </c>
      <c r="J133">
        <v>10159.62</v>
      </c>
      <c r="K133">
        <f t="shared" si="16"/>
        <v>0.0382733523490656</v>
      </c>
      <c r="L133">
        <f t="shared" si="15"/>
        <v>1.42862774544772</v>
      </c>
      <c r="M133">
        <f t="shared" si="17"/>
        <v>35.897641509434</v>
      </c>
      <c r="N133">
        <f t="shared" si="18"/>
        <v>1.33498285218717</v>
      </c>
      <c r="O133">
        <f t="shared" si="19"/>
        <v>2549.32</v>
      </c>
      <c r="P133">
        <f t="shared" si="20"/>
        <v>0.250926707888681</v>
      </c>
      <c r="Q133" t="str">
        <f t="shared" si="21"/>
        <v>2025-04</v>
      </c>
    </row>
    <row r="134" spans="1:17">
      <c r="A134" t="s">
        <v>151</v>
      </c>
      <c r="B134" s="10">
        <v>45640</v>
      </c>
      <c r="C134" t="s">
        <v>14</v>
      </c>
      <c r="D134" t="s">
        <v>20</v>
      </c>
      <c r="E134">
        <v>9008.89</v>
      </c>
      <c r="F134">
        <v>8366.54</v>
      </c>
      <c r="G134" s="6">
        <v>144975</v>
      </c>
      <c r="H134" s="6">
        <v>7116</v>
      </c>
      <c r="I134" s="6">
        <v>119</v>
      </c>
      <c r="J134">
        <v>5060.61</v>
      </c>
      <c r="K134">
        <f t="shared" si="16"/>
        <v>0.0490843248836006</v>
      </c>
      <c r="L134">
        <f t="shared" si="15"/>
        <v>1.17573636874649</v>
      </c>
      <c r="M134">
        <f t="shared" si="17"/>
        <v>70.3070588235294</v>
      </c>
      <c r="N134">
        <f t="shared" si="18"/>
        <v>0.604862942148128</v>
      </c>
      <c r="O134">
        <f t="shared" si="19"/>
        <v>-3305.93</v>
      </c>
      <c r="P134">
        <f t="shared" si="20"/>
        <v>-0.653267096259147</v>
      </c>
      <c r="Q134" t="str">
        <f t="shared" si="21"/>
        <v>2024-12</v>
      </c>
    </row>
    <row r="135" spans="1:17">
      <c r="A135" t="s">
        <v>152</v>
      </c>
      <c r="B135" s="10">
        <v>45713</v>
      </c>
      <c r="C135" t="s">
        <v>14</v>
      </c>
      <c r="D135" t="s">
        <v>15</v>
      </c>
      <c r="E135">
        <v>8281.8</v>
      </c>
      <c r="F135">
        <v>6881.66</v>
      </c>
      <c r="G135" s="6">
        <v>77279</v>
      </c>
      <c r="H135" s="6">
        <v>3326</v>
      </c>
      <c r="I135" s="6">
        <v>210</v>
      </c>
      <c r="J135">
        <v>9886.08</v>
      </c>
      <c r="K135">
        <f t="shared" si="16"/>
        <v>0.0430388591984886</v>
      </c>
      <c r="L135">
        <f t="shared" si="15"/>
        <v>2.06904990980156</v>
      </c>
      <c r="M135">
        <f t="shared" si="17"/>
        <v>32.7698095238095</v>
      </c>
      <c r="N135">
        <f t="shared" si="18"/>
        <v>1.43658361499987</v>
      </c>
      <c r="O135">
        <f t="shared" si="19"/>
        <v>3004.42</v>
      </c>
      <c r="P135">
        <f t="shared" si="20"/>
        <v>0.303904075224963</v>
      </c>
      <c r="Q135" t="str">
        <f t="shared" si="21"/>
        <v>2025-02</v>
      </c>
    </row>
    <row r="136" spans="1:17">
      <c r="A136" t="s">
        <v>153</v>
      </c>
      <c r="B136" s="10">
        <v>45685</v>
      </c>
      <c r="C136" t="s">
        <v>24</v>
      </c>
      <c r="D136" t="s">
        <v>12</v>
      </c>
      <c r="E136">
        <v>6536.77</v>
      </c>
      <c r="F136">
        <v>6850.12</v>
      </c>
      <c r="G136" s="6">
        <v>195662</v>
      </c>
      <c r="H136" s="6">
        <v>9052</v>
      </c>
      <c r="I136" s="6">
        <v>377</v>
      </c>
      <c r="J136">
        <v>11159.76</v>
      </c>
      <c r="K136">
        <f t="shared" si="16"/>
        <v>0.0462634543242939</v>
      </c>
      <c r="L136">
        <f t="shared" si="15"/>
        <v>0.75675209898365</v>
      </c>
      <c r="M136">
        <f t="shared" si="17"/>
        <v>18.1700795755968</v>
      </c>
      <c r="N136">
        <f t="shared" si="18"/>
        <v>1.62913350423058</v>
      </c>
      <c r="O136">
        <f t="shared" si="19"/>
        <v>4309.64</v>
      </c>
      <c r="P136">
        <f t="shared" si="20"/>
        <v>0.386176763658</v>
      </c>
      <c r="Q136" t="str">
        <f t="shared" si="21"/>
        <v>2025-01</v>
      </c>
    </row>
    <row r="137" spans="1:17">
      <c r="A137" t="s">
        <v>154</v>
      </c>
      <c r="B137" s="10">
        <v>45715</v>
      </c>
      <c r="C137" t="s">
        <v>14</v>
      </c>
      <c r="D137" t="s">
        <v>20</v>
      </c>
      <c r="E137">
        <v>9268.66</v>
      </c>
      <c r="F137">
        <v>8497.14</v>
      </c>
      <c r="G137" s="6">
        <v>168167</v>
      </c>
      <c r="H137" s="6">
        <v>4467</v>
      </c>
      <c r="I137" s="6">
        <v>63</v>
      </c>
      <c r="J137">
        <v>1280.48</v>
      </c>
      <c r="K137">
        <f t="shared" si="16"/>
        <v>0.0265628809457266</v>
      </c>
      <c r="L137">
        <f t="shared" si="15"/>
        <v>1.90220282068502</v>
      </c>
      <c r="M137">
        <f t="shared" si="17"/>
        <v>134.875238095238</v>
      </c>
      <c r="N137">
        <f t="shared" si="18"/>
        <v>0.150695410455753</v>
      </c>
      <c r="O137">
        <f t="shared" si="19"/>
        <v>-7216.66</v>
      </c>
      <c r="P137">
        <f t="shared" si="20"/>
        <v>-5.63590216168937</v>
      </c>
      <c r="Q137" t="str">
        <f t="shared" si="21"/>
        <v>2025-02</v>
      </c>
    </row>
    <row r="138" spans="1:17">
      <c r="A138" t="s">
        <v>155</v>
      </c>
      <c r="B138" s="10">
        <v>45650</v>
      </c>
      <c r="C138" t="s">
        <v>24</v>
      </c>
      <c r="D138" t="s">
        <v>15</v>
      </c>
      <c r="E138">
        <v>9337.67</v>
      </c>
      <c r="F138">
        <v>7725.86</v>
      </c>
      <c r="G138" s="6">
        <v>163943</v>
      </c>
      <c r="H138" s="6">
        <v>2848</v>
      </c>
      <c r="I138" s="6">
        <v>536</v>
      </c>
      <c r="J138">
        <v>15854.56</v>
      </c>
      <c r="K138">
        <f t="shared" si="16"/>
        <v>0.0173718914500772</v>
      </c>
      <c r="L138">
        <f t="shared" si="15"/>
        <v>2.71273174157303</v>
      </c>
      <c r="M138">
        <f t="shared" si="17"/>
        <v>14.4139179104478</v>
      </c>
      <c r="N138">
        <f t="shared" si="18"/>
        <v>2.05214176803618</v>
      </c>
      <c r="O138">
        <f t="shared" si="19"/>
        <v>8128.7</v>
      </c>
      <c r="P138">
        <f t="shared" si="20"/>
        <v>0.512704231464008</v>
      </c>
      <c r="Q138" t="str">
        <f t="shared" si="21"/>
        <v>2024-12</v>
      </c>
    </row>
    <row r="139" spans="1:17">
      <c r="A139" t="s">
        <v>156</v>
      </c>
      <c r="B139" s="10">
        <v>45808</v>
      </c>
      <c r="C139" t="s">
        <v>24</v>
      </c>
      <c r="D139" t="s">
        <v>17</v>
      </c>
      <c r="E139">
        <v>9650.43</v>
      </c>
      <c r="F139">
        <v>10472.47</v>
      </c>
      <c r="G139" s="6">
        <v>137121</v>
      </c>
      <c r="H139" s="6">
        <v>1770</v>
      </c>
      <c r="I139" s="6">
        <v>271</v>
      </c>
      <c r="J139">
        <v>10082.05</v>
      </c>
      <c r="K139">
        <f t="shared" si="16"/>
        <v>0.0129083072614698</v>
      </c>
      <c r="L139">
        <f t="shared" ref="L139:L170" si="22">F139/H139</f>
        <v>5.91664971751412</v>
      </c>
      <c r="M139">
        <f t="shared" si="17"/>
        <v>38.6438007380074</v>
      </c>
      <c r="N139">
        <f t="shared" si="18"/>
        <v>0.962719396665734</v>
      </c>
      <c r="O139">
        <f t="shared" si="19"/>
        <v>-390.42</v>
      </c>
      <c r="P139">
        <f t="shared" si="20"/>
        <v>-0.0387242673860971</v>
      </c>
      <c r="Q139" t="str">
        <f t="shared" si="21"/>
        <v>2025-05</v>
      </c>
    </row>
    <row r="140" spans="1:17">
      <c r="A140" t="s">
        <v>157</v>
      </c>
      <c r="B140" s="10">
        <v>45646</v>
      </c>
      <c r="C140" t="s">
        <v>11</v>
      </c>
      <c r="D140" t="s">
        <v>20</v>
      </c>
      <c r="E140">
        <v>7422.86</v>
      </c>
      <c r="F140">
        <v>6936.91</v>
      </c>
      <c r="G140" s="6">
        <v>174799</v>
      </c>
      <c r="H140" s="6">
        <v>5339</v>
      </c>
      <c r="I140" s="6">
        <v>543</v>
      </c>
      <c r="J140">
        <v>15636.4</v>
      </c>
      <c r="K140">
        <f t="shared" si="16"/>
        <v>0.0305436529957265</v>
      </c>
      <c r="L140">
        <f t="shared" si="22"/>
        <v>1.29929012923768</v>
      </c>
      <c r="M140">
        <f t="shared" si="17"/>
        <v>12.7751565377532</v>
      </c>
      <c r="N140">
        <f t="shared" si="18"/>
        <v>2.25408719444248</v>
      </c>
      <c r="O140">
        <f t="shared" si="19"/>
        <v>8699.49</v>
      </c>
      <c r="P140">
        <f t="shared" si="20"/>
        <v>0.556361438694329</v>
      </c>
      <c r="Q140" t="str">
        <f t="shared" si="21"/>
        <v>2024-12</v>
      </c>
    </row>
    <row r="141" spans="1:17">
      <c r="A141" t="s">
        <v>158</v>
      </c>
      <c r="B141" s="10">
        <v>45787</v>
      </c>
      <c r="C141" t="s">
        <v>14</v>
      </c>
      <c r="D141" t="s">
        <v>17</v>
      </c>
      <c r="E141">
        <v>5300.65</v>
      </c>
      <c r="F141">
        <v>5309.96</v>
      </c>
      <c r="G141" s="6">
        <v>58780</v>
      </c>
      <c r="H141" s="6">
        <v>1712</v>
      </c>
      <c r="I141" s="6">
        <v>92</v>
      </c>
      <c r="J141">
        <v>3916.55</v>
      </c>
      <c r="K141">
        <f t="shared" si="16"/>
        <v>0.0291255529091528</v>
      </c>
      <c r="L141">
        <f t="shared" si="22"/>
        <v>3.10161214953271</v>
      </c>
      <c r="M141">
        <f t="shared" si="17"/>
        <v>57.7169565217391</v>
      </c>
      <c r="N141">
        <f t="shared" si="18"/>
        <v>0.737585593865114</v>
      </c>
      <c r="O141">
        <f t="shared" si="19"/>
        <v>-1393.41</v>
      </c>
      <c r="P141">
        <f t="shared" si="20"/>
        <v>-0.355774852867958</v>
      </c>
      <c r="Q141" t="str">
        <f t="shared" si="21"/>
        <v>2025-05</v>
      </c>
    </row>
    <row r="142" spans="1:17">
      <c r="A142" t="s">
        <v>159</v>
      </c>
      <c r="B142" s="10">
        <v>45752</v>
      </c>
      <c r="C142" t="s">
        <v>24</v>
      </c>
      <c r="D142" t="s">
        <v>15</v>
      </c>
      <c r="E142">
        <v>8541.05</v>
      </c>
      <c r="F142">
        <v>8856.09</v>
      </c>
      <c r="G142" s="6">
        <v>198199</v>
      </c>
      <c r="H142" s="6">
        <v>5993</v>
      </c>
      <c r="I142" s="6">
        <v>1087</v>
      </c>
      <c r="J142">
        <v>24714.23</v>
      </c>
      <c r="K142">
        <f t="shared" si="16"/>
        <v>0.0302372867673399</v>
      </c>
      <c r="L142">
        <f t="shared" si="22"/>
        <v>1.47773902886701</v>
      </c>
      <c r="M142">
        <f t="shared" si="17"/>
        <v>8.14727690892364</v>
      </c>
      <c r="N142">
        <f t="shared" si="18"/>
        <v>2.79064801735303</v>
      </c>
      <c r="O142">
        <f t="shared" si="19"/>
        <v>15858.14</v>
      </c>
      <c r="P142">
        <f t="shared" si="20"/>
        <v>0.641660290448054</v>
      </c>
      <c r="Q142" t="str">
        <f t="shared" si="21"/>
        <v>2025-04</v>
      </c>
    </row>
    <row r="143" spans="1:17">
      <c r="A143" t="s">
        <v>160</v>
      </c>
      <c r="B143" s="10">
        <v>45787</v>
      </c>
      <c r="C143" t="s">
        <v>24</v>
      </c>
      <c r="D143" t="s">
        <v>17</v>
      </c>
      <c r="E143">
        <v>6460.94</v>
      </c>
      <c r="F143">
        <v>5280.32</v>
      </c>
      <c r="G143" s="6">
        <v>103994</v>
      </c>
      <c r="H143" s="6">
        <v>4644</v>
      </c>
      <c r="I143" s="6">
        <v>871</v>
      </c>
      <c r="J143">
        <v>31779.19</v>
      </c>
      <c r="K143">
        <f t="shared" si="16"/>
        <v>0.0446564224859127</v>
      </c>
      <c r="L143">
        <f t="shared" si="22"/>
        <v>1.13701981050818</v>
      </c>
      <c r="M143">
        <f t="shared" si="17"/>
        <v>6.06236509758898</v>
      </c>
      <c r="N143">
        <f t="shared" si="18"/>
        <v>6.01842123204654</v>
      </c>
      <c r="O143">
        <f t="shared" si="19"/>
        <v>26498.87</v>
      </c>
      <c r="P143">
        <f t="shared" si="20"/>
        <v>0.83384346800532</v>
      </c>
      <c r="Q143" t="str">
        <f t="shared" si="21"/>
        <v>2025-05</v>
      </c>
    </row>
    <row r="144" spans="1:17">
      <c r="A144" t="s">
        <v>161</v>
      </c>
      <c r="B144" s="10">
        <v>45800</v>
      </c>
      <c r="C144" t="s">
        <v>19</v>
      </c>
      <c r="D144" t="s">
        <v>17</v>
      </c>
      <c r="E144">
        <v>6090.71</v>
      </c>
      <c r="F144">
        <v>6494.59</v>
      </c>
      <c r="G144" s="6">
        <v>149870</v>
      </c>
      <c r="H144" s="6">
        <v>2505</v>
      </c>
      <c r="I144" s="6">
        <v>453</v>
      </c>
      <c r="J144">
        <v>13828.94</v>
      </c>
      <c r="K144">
        <f t="shared" si="16"/>
        <v>0.0167144858877694</v>
      </c>
      <c r="L144">
        <f t="shared" si="22"/>
        <v>2.59265069860279</v>
      </c>
      <c r="M144">
        <f t="shared" si="17"/>
        <v>14.3368432671082</v>
      </c>
      <c r="N144">
        <f t="shared" si="18"/>
        <v>2.12930146475759</v>
      </c>
      <c r="O144">
        <f t="shared" si="19"/>
        <v>7334.35</v>
      </c>
      <c r="P144">
        <f t="shared" si="20"/>
        <v>0.53036241389434</v>
      </c>
      <c r="Q144" t="str">
        <f t="shared" si="21"/>
        <v>2025-05</v>
      </c>
    </row>
    <row r="145" spans="1:17">
      <c r="A145" t="s">
        <v>162</v>
      </c>
      <c r="B145" s="10">
        <v>45816</v>
      </c>
      <c r="C145" t="s">
        <v>11</v>
      </c>
      <c r="D145" t="s">
        <v>17</v>
      </c>
      <c r="E145">
        <v>3819.47</v>
      </c>
      <c r="F145">
        <v>3219.42</v>
      </c>
      <c r="G145" s="6">
        <v>77061</v>
      </c>
      <c r="H145" s="6">
        <v>1539</v>
      </c>
      <c r="I145" s="6">
        <v>244</v>
      </c>
      <c r="J145">
        <v>10454.26</v>
      </c>
      <c r="K145">
        <f t="shared" si="16"/>
        <v>0.0199711916533655</v>
      </c>
      <c r="L145">
        <f t="shared" si="22"/>
        <v>2.09189083820663</v>
      </c>
      <c r="M145">
        <f t="shared" si="17"/>
        <v>13.1943442622951</v>
      </c>
      <c r="N145">
        <f t="shared" si="18"/>
        <v>3.24724950456915</v>
      </c>
      <c r="O145">
        <f t="shared" si="19"/>
        <v>7234.84</v>
      </c>
      <c r="P145">
        <f t="shared" si="20"/>
        <v>0.69204706980695</v>
      </c>
      <c r="Q145" t="str">
        <f t="shared" si="21"/>
        <v>2025-06</v>
      </c>
    </row>
    <row r="146" spans="1:17">
      <c r="A146" t="s">
        <v>163</v>
      </c>
      <c r="B146" s="10">
        <v>45762</v>
      </c>
      <c r="C146" t="s">
        <v>24</v>
      </c>
      <c r="D146" t="s">
        <v>17</v>
      </c>
      <c r="E146">
        <v>7327.53</v>
      </c>
      <c r="F146">
        <v>6084.32</v>
      </c>
      <c r="G146" s="6">
        <v>70716</v>
      </c>
      <c r="H146" s="6">
        <v>2637</v>
      </c>
      <c r="I146" s="6">
        <v>111</v>
      </c>
      <c r="J146">
        <v>2500.08</v>
      </c>
      <c r="K146">
        <f t="shared" si="16"/>
        <v>0.0372900050907857</v>
      </c>
      <c r="L146">
        <f t="shared" si="22"/>
        <v>2.30728858551384</v>
      </c>
      <c r="M146">
        <f t="shared" si="17"/>
        <v>54.8136936936937</v>
      </c>
      <c r="N146">
        <f t="shared" si="18"/>
        <v>0.410905409314434</v>
      </c>
      <c r="O146">
        <f t="shared" si="19"/>
        <v>-3584.24</v>
      </c>
      <c r="P146">
        <f t="shared" si="20"/>
        <v>-1.43365012319606</v>
      </c>
      <c r="Q146" t="str">
        <f t="shared" si="21"/>
        <v>2025-04</v>
      </c>
    </row>
    <row r="147" spans="1:17">
      <c r="A147" t="s">
        <v>164</v>
      </c>
      <c r="B147" s="10">
        <v>45789</v>
      </c>
      <c r="C147" t="s">
        <v>22</v>
      </c>
      <c r="D147" t="s">
        <v>20</v>
      </c>
      <c r="E147">
        <v>7906.78</v>
      </c>
      <c r="F147">
        <v>6498.02</v>
      </c>
      <c r="G147" s="6">
        <v>81757</v>
      </c>
      <c r="H147" s="6">
        <v>1390</v>
      </c>
      <c r="I147" s="6">
        <v>160</v>
      </c>
      <c r="J147">
        <v>7144.93</v>
      </c>
      <c r="K147">
        <f t="shared" si="16"/>
        <v>0.0170016023092824</v>
      </c>
      <c r="L147">
        <f t="shared" si="22"/>
        <v>4.6748345323741</v>
      </c>
      <c r="M147">
        <f t="shared" si="17"/>
        <v>40.612625</v>
      </c>
      <c r="N147">
        <f t="shared" si="18"/>
        <v>1.09955494135137</v>
      </c>
      <c r="O147">
        <f t="shared" si="19"/>
        <v>646.91</v>
      </c>
      <c r="P147">
        <f t="shared" si="20"/>
        <v>0.090541124965535</v>
      </c>
      <c r="Q147" t="str">
        <f t="shared" si="21"/>
        <v>2025-05</v>
      </c>
    </row>
    <row r="148" spans="1:17">
      <c r="A148" t="s">
        <v>165</v>
      </c>
      <c r="B148" s="10">
        <v>45771</v>
      </c>
      <c r="C148" t="s">
        <v>19</v>
      </c>
      <c r="D148" t="s">
        <v>12</v>
      </c>
      <c r="E148">
        <v>7943.7</v>
      </c>
      <c r="F148">
        <v>6548.82</v>
      </c>
      <c r="G148" s="6">
        <v>127949</v>
      </c>
      <c r="H148" s="6">
        <v>2073</v>
      </c>
      <c r="I148" s="6">
        <v>179</v>
      </c>
      <c r="J148">
        <v>4035.58</v>
      </c>
      <c r="K148">
        <f t="shared" si="16"/>
        <v>0.0162017678918944</v>
      </c>
      <c r="L148">
        <f t="shared" si="22"/>
        <v>3.1591027496382</v>
      </c>
      <c r="M148">
        <f t="shared" si="17"/>
        <v>36.5855865921788</v>
      </c>
      <c r="N148">
        <f t="shared" si="18"/>
        <v>0.616230099468301</v>
      </c>
      <c r="O148">
        <f t="shared" si="19"/>
        <v>-2513.24</v>
      </c>
      <c r="P148">
        <f t="shared" si="20"/>
        <v>-0.622770456786881</v>
      </c>
      <c r="Q148" t="str">
        <f t="shared" si="21"/>
        <v>2025-04</v>
      </c>
    </row>
    <row r="149" spans="1:17">
      <c r="A149" t="s">
        <v>166</v>
      </c>
      <c r="B149" s="10">
        <v>45700</v>
      </c>
      <c r="C149" t="s">
        <v>22</v>
      </c>
      <c r="D149" t="s">
        <v>17</v>
      </c>
      <c r="E149">
        <v>9906.48</v>
      </c>
      <c r="F149">
        <v>9037.5</v>
      </c>
      <c r="G149" s="6">
        <v>130404</v>
      </c>
      <c r="H149" s="6">
        <v>3053</v>
      </c>
      <c r="I149" s="6">
        <v>159</v>
      </c>
      <c r="J149">
        <v>4947.96</v>
      </c>
      <c r="K149">
        <f t="shared" si="16"/>
        <v>0.0234118585319469</v>
      </c>
      <c r="L149">
        <f t="shared" si="22"/>
        <v>2.96020307893875</v>
      </c>
      <c r="M149">
        <f t="shared" si="17"/>
        <v>56.8396226415094</v>
      </c>
      <c r="N149">
        <f t="shared" si="18"/>
        <v>0.547492116182573</v>
      </c>
      <c r="O149">
        <f t="shared" si="19"/>
        <v>-4089.54</v>
      </c>
      <c r="P149">
        <f t="shared" si="20"/>
        <v>-0.826510319404361</v>
      </c>
      <c r="Q149" t="str">
        <f t="shared" si="21"/>
        <v>2025-02</v>
      </c>
    </row>
    <row r="150" spans="1:17">
      <c r="A150" t="s">
        <v>167</v>
      </c>
      <c r="B150" s="10">
        <v>45784</v>
      </c>
      <c r="C150" t="s">
        <v>14</v>
      </c>
      <c r="D150" t="s">
        <v>17</v>
      </c>
      <c r="E150">
        <v>8689.6</v>
      </c>
      <c r="F150">
        <v>9421.04</v>
      </c>
      <c r="G150" s="6">
        <v>162097</v>
      </c>
      <c r="H150" s="6">
        <v>7152</v>
      </c>
      <c r="I150" s="6">
        <v>1126</v>
      </c>
      <c r="J150">
        <v>55827.12</v>
      </c>
      <c r="K150">
        <f t="shared" si="16"/>
        <v>0.0441217295816702</v>
      </c>
      <c r="L150">
        <f t="shared" si="22"/>
        <v>1.31725950782998</v>
      </c>
      <c r="M150">
        <f t="shared" si="17"/>
        <v>8.36682060390764</v>
      </c>
      <c r="N150">
        <f t="shared" si="18"/>
        <v>5.92579163234632</v>
      </c>
      <c r="O150">
        <f t="shared" si="19"/>
        <v>46406.08</v>
      </c>
      <c r="P150">
        <f t="shared" si="20"/>
        <v>0.831246175693821</v>
      </c>
      <c r="Q150" t="str">
        <f t="shared" si="21"/>
        <v>2025-05</v>
      </c>
    </row>
    <row r="151" spans="1:17">
      <c r="A151" t="s">
        <v>168</v>
      </c>
      <c r="B151" s="10">
        <v>45793</v>
      </c>
      <c r="C151" t="s">
        <v>22</v>
      </c>
      <c r="D151" t="s">
        <v>20</v>
      </c>
      <c r="E151">
        <v>8273.65</v>
      </c>
      <c r="F151">
        <v>7552.83</v>
      </c>
      <c r="G151" s="6">
        <v>154555</v>
      </c>
      <c r="H151" s="6">
        <v>7368</v>
      </c>
      <c r="I151" s="6">
        <v>692</v>
      </c>
      <c r="J151">
        <v>15573.47</v>
      </c>
      <c r="K151">
        <f t="shared" si="16"/>
        <v>0.0476723496489923</v>
      </c>
      <c r="L151">
        <f t="shared" si="22"/>
        <v>1.02508550488599</v>
      </c>
      <c r="M151">
        <f t="shared" si="17"/>
        <v>10.9144942196532</v>
      </c>
      <c r="N151">
        <f t="shared" si="18"/>
        <v>2.06193837276888</v>
      </c>
      <c r="O151">
        <f t="shared" si="19"/>
        <v>8020.64</v>
      </c>
      <c r="P151">
        <f t="shared" si="20"/>
        <v>0.515019452954287</v>
      </c>
      <c r="Q151" t="str">
        <f t="shared" si="21"/>
        <v>2025-05</v>
      </c>
    </row>
    <row r="152" spans="1:17">
      <c r="A152" t="s">
        <v>169</v>
      </c>
      <c r="B152" s="10">
        <v>45802</v>
      </c>
      <c r="C152" t="s">
        <v>14</v>
      </c>
      <c r="D152" t="s">
        <v>20</v>
      </c>
      <c r="E152">
        <v>8440.03</v>
      </c>
      <c r="F152">
        <v>8165.91</v>
      </c>
      <c r="G152" s="6">
        <v>56338</v>
      </c>
      <c r="H152" s="6">
        <v>2066</v>
      </c>
      <c r="I152" s="6">
        <v>157</v>
      </c>
      <c r="J152">
        <v>5138.09</v>
      </c>
      <c r="K152">
        <f t="shared" si="16"/>
        <v>0.0366715183357592</v>
      </c>
      <c r="L152">
        <f t="shared" si="22"/>
        <v>3.95252178121975</v>
      </c>
      <c r="M152">
        <f t="shared" si="17"/>
        <v>52.0121656050955</v>
      </c>
      <c r="N152">
        <f t="shared" si="18"/>
        <v>0.629212175985285</v>
      </c>
      <c r="O152">
        <f t="shared" si="19"/>
        <v>-3027.82</v>
      </c>
      <c r="P152">
        <f t="shared" si="20"/>
        <v>-0.589289015957291</v>
      </c>
      <c r="Q152" t="str">
        <f t="shared" si="21"/>
        <v>2025-05</v>
      </c>
    </row>
    <row r="153" spans="1:17">
      <c r="A153" t="s">
        <v>170</v>
      </c>
      <c r="B153" s="10">
        <v>45691</v>
      </c>
      <c r="C153" t="s">
        <v>14</v>
      </c>
      <c r="D153" t="s">
        <v>20</v>
      </c>
      <c r="E153">
        <v>9344.48</v>
      </c>
      <c r="F153">
        <v>7787.31</v>
      </c>
      <c r="G153" s="6">
        <v>168488</v>
      </c>
      <c r="H153" s="6">
        <v>6718</v>
      </c>
      <c r="I153" s="6">
        <v>131</v>
      </c>
      <c r="J153">
        <v>4556.02</v>
      </c>
      <c r="K153">
        <f t="shared" si="16"/>
        <v>0.0398722757703813</v>
      </c>
      <c r="L153">
        <f t="shared" si="22"/>
        <v>1.15917088419172</v>
      </c>
      <c r="M153">
        <f t="shared" si="17"/>
        <v>59.4451145038168</v>
      </c>
      <c r="N153">
        <f t="shared" si="18"/>
        <v>0.585056970892388</v>
      </c>
      <c r="O153">
        <f t="shared" si="19"/>
        <v>-3231.29</v>
      </c>
      <c r="P153">
        <f t="shared" si="20"/>
        <v>-0.709235253576586</v>
      </c>
      <c r="Q153" t="str">
        <f t="shared" si="21"/>
        <v>2025-02</v>
      </c>
    </row>
    <row r="154" spans="1:17">
      <c r="A154" t="s">
        <v>171</v>
      </c>
      <c r="B154" s="10">
        <v>45663</v>
      </c>
      <c r="C154" t="s">
        <v>24</v>
      </c>
      <c r="D154" t="s">
        <v>17</v>
      </c>
      <c r="E154">
        <v>3079.48</v>
      </c>
      <c r="F154">
        <v>2896.55</v>
      </c>
      <c r="G154" s="6">
        <v>70782</v>
      </c>
      <c r="H154" s="6">
        <v>3197</v>
      </c>
      <c r="I154" s="6">
        <v>540</v>
      </c>
      <c r="J154">
        <v>11712.11</v>
      </c>
      <c r="K154">
        <f t="shared" si="16"/>
        <v>0.0451668503291797</v>
      </c>
      <c r="L154">
        <f t="shared" si="22"/>
        <v>0.906021269940569</v>
      </c>
      <c r="M154">
        <f t="shared" si="17"/>
        <v>5.36398148148148</v>
      </c>
      <c r="N154">
        <f t="shared" si="18"/>
        <v>4.04346895444581</v>
      </c>
      <c r="O154">
        <f t="shared" si="19"/>
        <v>8815.56</v>
      </c>
      <c r="P154">
        <f t="shared" si="20"/>
        <v>0.752687602831599</v>
      </c>
      <c r="Q154" t="str">
        <f t="shared" si="21"/>
        <v>2025-01</v>
      </c>
    </row>
    <row r="155" spans="1:17">
      <c r="A155" t="s">
        <v>172</v>
      </c>
      <c r="B155" s="10">
        <v>45661</v>
      </c>
      <c r="C155" t="s">
        <v>24</v>
      </c>
      <c r="D155" t="s">
        <v>20</v>
      </c>
      <c r="E155">
        <v>3831.73</v>
      </c>
      <c r="F155">
        <v>3200.48</v>
      </c>
      <c r="G155" s="6">
        <v>187830</v>
      </c>
      <c r="H155" s="6">
        <v>5038</v>
      </c>
      <c r="I155" s="6">
        <v>56</v>
      </c>
      <c r="J155">
        <v>2210.67</v>
      </c>
      <c r="K155">
        <f t="shared" si="16"/>
        <v>0.0268221263908854</v>
      </c>
      <c r="L155">
        <f t="shared" si="22"/>
        <v>0.63526796347757</v>
      </c>
      <c r="M155">
        <f t="shared" si="17"/>
        <v>57.1514285714286</v>
      </c>
      <c r="N155">
        <f t="shared" si="18"/>
        <v>0.690730765385192</v>
      </c>
      <c r="O155">
        <f t="shared" si="19"/>
        <v>-989.81</v>
      </c>
      <c r="P155">
        <f t="shared" si="20"/>
        <v>-0.44774208724052</v>
      </c>
      <c r="Q155" t="str">
        <f t="shared" si="21"/>
        <v>2025-01</v>
      </c>
    </row>
    <row r="156" spans="1:17">
      <c r="A156" t="s">
        <v>173</v>
      </c>
      <c r="B156" s="10">
        <v>45668</v>
      </c>
      <c r="C156" t="s">
        <v>24</v>
      </c>
      <c r="D156" t="s">
        <v>17</v>
      </c>
      <c r="E156">
        <v>8222.31</v>
      </c>
      <c r="F156">
        <v>8016.84</v>
      </c>
      <c r="G156" s="6">
        <v>77085</v>
      </c>
      <c r="H156" s="6">
        <v>2592</v>
      </c>
      <c r="I156" s="6">
        <v>460</v>
      </c>
      <c r="J156">
        <v>22477.98</v>
      </c>
      <c r="K156">
        <f t="shared" si="16"/>
        <v>0.0336252189141856</v>
      </c>
      <c r="L156">
        <f t="shared" si="22"/>
        <v>3.09291666666667</v>
      </c>
      <c r="M156">
        <f t="shared" si="17"/>
        <v>17.4279130434783</v>
      </c>
      <c r="N156">
        <f t="shared" si="18"/>
        <v>2.80384540542159</v>
      </c>
      <c r="O156">
        <f t="shared" si="19"/>
        <v>14461.14</v>
      </c>
      <c r="P156">
        <f t="shared" si="20"/>
        <v>0.643346955553835</v>
      </c>
      <c r="Q156" t="str">
        <f t="shared" si="21"/>
        <v>2025-01</v>
      </c>
    </row>
    <row r="157" spans="1:17">
      <c r="A157" t="s">
        <v>174</v>
      </c>
      <c r="B157" s="10">
        <v>45814</v>
      </c>
      <c r="C157" t="s">
        <v>11</v>
      </c>
      <c r="D157" t="s">
        <v>12</v>
      </c>
      <c r="E157">
        <v>5624.09</v>
      </c>
      <c r="F157">
        <v>4981.33</v>
      </c>
      <c r="G157" s="6">
        <v>181387</v>
      </c>
      <c r="H157" s="6">
        <v>7602</v>
      </c>
      <c r="I157" s="6">
        <v>1490</v>
      </c>
      <c r="J157">
        <v>68626.38</v>
      </c>
      <c r="K157">
        <f t="shared" si="16"/>
        <v>0.0419103904910495</v>
      </c>
      <c r="L157">
        <f t="shared" si="22"/>
        <v>0.655265719547487</v>
      </c>
      <c r="M157">
        <f t="shared" si="17"/>
        <v>3.3431744966443</v>
      </c>
      <c r="N157">
        <f t="shared" si="18"/>
        <v>13.7767182660053</v>
      </c>
      <c r="O157">
        <f t="shared" si="19"/>
        <v>63645.05</v>
      </c>
      <c r="P157">
        <f t="shared" si="20"/>
        <v>0.927413772954365</v>
      </c>
      <c r="Q157" t="str">
        <f t="shared" si="21"/>
        <v>2025-06</v>
      </c>
    </row>
    <row r="158" spans="1:17">
      <c r="A158" t="s">
        <v>175</v>
      </c>
      <c r="B158" s="10">
        <v>45785</v>
      </c>
      <c r="C158" t="s">
        <v>14</v>
      </c>
      <c r="D158" t="s">
        <v>20</v>
      </c>
      <c r="E158">
        <v>4565.17</v>
      </c>
      <c r="F158">
        <v>4971.32</v>
      </c>
      <c r="G158" s="6">
        <v>161384</v>
      </c>
      <c r="H158" s="6">
        <v>4375</v>
      </c>
      <c r="I158" s="6">
        <v>117</v>
      </c>
      <c r="J158">
        <v>2382.66</v>
      </c>
      <c r="K158">
        <f t="shared" si="16"/>
        <v>0.0271092549447281</v>
      </c>
      <c r="L158">
        <f t="shared" si="22"/>
        <v>1.13630171428571</v>
      </c>
      <c r="M158">
        <f t="shared" si="17"/>
        <v>42.4899145299145</v>
      </c>
      <c r="N158">
        <f t="shared" si="18"/>
        <v>0.479281156714917</v>
      </c>
      <c r="O158">
        <f t="shared" si="19"/>
        <v>-2588.66</v>
      </c>
      <c r="P158">
        <f t="shared" si="20"/>
        <v>-1.0864579923279</v>
      </c>
      <c r="Q158" t="str">
        <f t="shared" si="21"/>
        <v>2025-05</v>
      </c>
    </row>
    <row r="159" spans="1:17">
      <c r="A159" t="s">
        <v>176</v>
      </c>
      <c r="B159" s="10">
        <v>45710</v>
      </c>
      <c r="C159" t="s">
        <v>19</v>
      </c>
      <c r="D159" t="s">
        <v>15</v>
      </c>
      <c r="E159">
        <v>9789.15</v>
      </c>
      <c r="F159">
        <v>7958.07</v>
      </c>
      <c r="G159" s="6">
        <v>115218</v>
      </c>
      <c r="H159" s="6">
        <v>1614</v>
      </c>
      <c r="I159" s="6">
        <v>62</v>
      </c>
      <c r="J159">
        <v>2897.53</v>
      </c>
      <c r="K159">
        <f t="shared" si="16"/>
        <v>0.0140082278810603</v>
      </c>
      <c r="L159">
        <f t="shared" si="22"/>
        <v>4.93065055762082</v>
      </c>
      <c r="M159">
        <f t="shared" si="17"/>
        <v>128.355967741935</v>
      </c>
      <c r="N159">
        <f t="shared" si="18"/>
        <v>0.364099586960155</v>
      </c>
      <c r="O159">
        <f t="shared" si="19"/>
        <v>-5060.54</v>
      </c>
      <c r="P159">
        <f t="shared" si="20"/>
        <v>-1.74650133044352</v>
      </c>
      <c r="Q159" t="str">
        <f t="shared" si="21"/>
        <v>2025-02</v>
      </c>
    </row>
    <row r="160" spans="1:17">
      <c r="A160" t="s">
        <v>177</v>
      </c>
      <c r="B160" s="10">
        <v>45762</v>
      </c>
      <c r="C160" t="s">
        <v>24</v>
      </c>
      <c r="D160" t="s">
        <v>20</v>
      </c>
      <c r="E160">
        <v>6693.91</v>
      </c>
      <c r="F160">
        <v>7349.17</v>
      </c>
      <c r="G160" s="6">
        <v>86944</v>
      </c>
      <c r="H160" s="6">
        <v>1292</v>
      </c>
      <c r="I160" s="6">
        <v>250</v>
      </c>
      <c r="J160">
        <v>5553.47</v>
      </c>
      <c r="K160">
        <f t="shared" si="16"/>
        <v>0.0148601398601399</v>
      </c>
      <c r="L160">
        <f t="shared" si="22"/>
        <v>5.68821207430341</v>
      </c>
      <c r="M160">
        <f t="shared" si="17"/>
        <v>29.39668</v>
      </c>
      <c r="N160">
        <f t="shared" si="18"/>
        <v>0.755659482635454</v>
      </c>
      <c r="O160">
        <f t="shared" si="19"/>
        <v>-1795.7</v>
      </c>
      <c r="P160">
        <f t="shared" si="20"/>
        <v>-0.323347384608182</v>
      </c>
      <c r="Q160" t="str">
        <f t="shared" si="21"/>
        <v>2025-04</v>
      </c>
    </row>
    <row r="161" spans="1:17">
      <c r="A161" t="s">
        <v>178</v>
      </c>
      <c r="B161" s="10">
        <v>45778</v>
      </c>
      <c r="C161" t="s">
        <v>11</v>
      </c>
      <c r="D161" t="s">
        <v>17</v>
      </c>
      <c r="E161">
        <v>6876.98</v>
      </c>
      <c r="F161">
        <v>7501.35</v>
      </c>
      <c r="G161" s="6">
        <v>126890</v>
      </c>
      <c r="H161" s="6">
        <v>3074</v>
      </c>
      <c r="I161" s="6">
        <v>614</v>
      </c>
      <c r="J161">
        <v>21915.46</v>
      </c>
      <c r="K161">
        <f t="shared" si="16"/>
        <v>0.0242257073055402</v>
      </c>
      <c r="L161">
        <f t="shared" si="22"/>
        <v>2.44025699414444</v>
      </c>
      <c r="M161">
        <f t="shared" si="17"/>
        <v>12.2171824104235</v>
      </c>
      <c r="N161">
        <f t="shared" si="18"/>
        <v>2.92153545695108</v>
      </c>
      <c r="O161">
        <f t="shared" si="19"/>
        <v>14414.11</v>
      </c>
      <c r="P161">
        <f t="shared" si="20"/>
        <v>0.65771423460881</v>
      </c>
      <c r="Q161" t="str">
        <f t="shared" si="21"/>
        <v>2025-05</v>
      </c>
    </row>
    <row r="162" spans="1:17">
      <c r="A162" t="s">
        <v>179</v>
      </c>
      <c r="B162" s="10">
        <v>45783</v>
      </c>
      <c r="C162" t="s">
        <v>11</v>
      </c>
      <c r="D162" t="s">
        <v>15</v>
      </c>
      <c r="E162">
        <v>7405.79</v>
      </c>
      <c r="F162">
        <v>7470.4</v>
      </c>
      <c r="G162" s="6">
        <v>119094</v>
      </c>
      <c r="H162" s="6">
        <v>5829</v>
      </c>
      <c r="I162" s="6">
        <v>550</v>
      </c>
      <c r="J162">
        <v>18499.93</v>
      </c>
      <c r="K162">
        <f t="shared" si="16"/>
        <v>0.0489445312106403</v>
      </c>
      <c r="L162">
        <f t="shared" si="22"/>
        <v>1.281592039801</v>
      </c>
      <c r="M162">
        <f t="shared" si="17"/>
        <v>13.5825454545455</v>
      </c>
      <c r="N162">
        <f t="shared" si="18"/>
        <v>2.4764309809381</v>
      </c>
      <c r="O162">
        <f t="shared" si="19"/>
        <v>11029.53</v>
      </c>
      <c r="P162">
        <f t="shared" si="20"/>
        <v>0.596193066676469</v>
      </c>
      <c r="Q162" t="str">
        <f t="shared" si="21"/>
        <v>2025-05</v>
      </c>
    </row>
    <row r="163" spans="1:17">
      <c r="A163" t="s">
        <v>180</v>
      </c>
      <c r="B163" s="10">
        <v>45739</v>
      </c>
      <c r="C163" t="s">
        <v>11</v>
      </c>
      <c r="D163" t="s">
        <v>17</v>
      </c>
      <c r="E163">
        <v>7392.91</v>
      </c>
      <c r="F163">
        <v>7210.26</v>
      </c>
      <c r="G163" s="6">
        <v>120570</v>
      </c>
      <c r="H163" s="6">
        <v>1495</v>
      </c>
      <c r="I163" s="6">
        <v>104</v>
      </c>
      <c r="J163">
        <v>4891.61</v>
      </c>
      <c r="K163">
        <f t="shared" si="16"/>
        <v>0.012399436012275</v>
      </c>
      <c r="L163">
        <f t="shared" si="22"/>
        <v>4.82291638795987</v>
      </c>
      <c r="M163">
        <f t="shared" si="17"/>
        <v>69.3294230769231</v>
      </c>
      <c r="N163">
        <f t="shared" si="18"/>
        <v>0.678423524255713</v>
      </c>
      <c r="O163">
        <f t="shared" si="19"/>
        <v>-2318.65</v>
      </c>
      <c r="P163">
        <f t="shared" si="20"/>
        <v>-0.474005491034649</v>
      </c>
      <c r="Q163" t="str">
        <f t="shared" si="21"/>
        <v>2025-03</v>
      </c>
    </row>
    <row r="164" spans="1:17">
      <c r="A164" t="s">
        <v>181</v>
      </c>
      <c r="B164" s="10">
        <v>45718</v>
      </c>
      <c r="C164" t="s">
        <v>24</v>
      </c>
      <c r="D164" t="s">
        <v>12</v>
      </c>
      <c r="E164">
        <v>3318.12</v>
      </c>
      <c r="F164">
        <v>2934.18</v>
      </c>
      <c r="G164" s="6">
        <v>173652</v>
      </c>
      <c r="H164" s="6">
        <v>3397</v>
      </c>
      <c r="I164" s="6">
        <v>329</v>
      </c>
      <c r="J164">
        <v>15960.56</v>
      </c>
      <c r="K164">
        <f t="shared" si="16"/>
        <v>0.0195621127312095</v>
      </c>
      <c r="L164">
        <f t="shared" si="22"/>
        <v>0.863756255519576</v>
      </c>
      <c r="M164">
        <f t="shared" si="17"/>
        <v>8.91848024316109</v>
      </c>
      <c r="N164">
        <f t="shared" si="18"/>
        <v>5.43952995385423</v>
      </c>
      <c r="O164">
        <f t="shared" si="19"/>
        <v>13026.38</v>
      </c>
      <c r="P164">
        <f t="shared" si="20"/>
        <v>0.816160585844106</v>
      </c>
      <c r="Q164" t="str">
        <f t="shared" si="21"/>
        <v>2025-03</v>
      </c>
    </row>
    <row r="165" spans="1:17">
      <c r="A165" t="s">
        <v>182</v>
      </c>
      <c r="B165" s="10">
        <v>45698</v>
      </c>
      <c r="C165" t="s">
        <v>22</v>
      </c>
      <c r="D165" t="s">
        <v>20</v>
      </c>
      <c r="E165">
        <v>9231.85</v>
      </c>
      <c r="F165">
        <v>8647.45</v>
      </c>
      <c r="G165" s="6">
        <v>53244</v>
      </c>
      <c r="H165" s="6">
        <v>1838</v>
      </c>
      <c r="I165" s="6">
        <v>273</v>
      </c>
      <c r="J165">
        <v>10538.89</v>
      </c>
      <c r="K165">
        <f t="shared" si="16"/>
        <v>0.0345203215385771</v>
      </c>
      <c r="L165">
        <f t="shared" si="22"/>
        <v>4.70481501632209</v>
      </c>
      <c r="M165">
        <f t="shared" si="17"/>
        <v>31.675641025641</v>
      </c>
      <c r="N165">
        <f t="shared" si="18"/>
        <v>1.21872806434267</v>
      </c>
      <c r="O165">
        <f t="shared" si="19"/>
        <v>1891.44</v>
      </c>
      <c r="P165">
        <f t="shared" si="20"/>
        <v>0.179472411231164</v>
      </c>
      <c r="Q165" t="str">
        <f t="shared" si="21"/>
        <v>2025-02</v>
      </c>
    </row>
    <row r="166" spans="1:17">
      <c r="A166" t="s">
        <v>183</v>
      </c>
      <c r="B166" s="10">
        <v>45667</v>
      </c>
      <c r="C166" t="s">
        <v>11</v>
      </c>
      <c r="D166" t="s">
        <v>17</v>
      </c>
      <c r="E166">
        <v>4941.67</v>
      </c>
      <c r="F166">
        <v>4232.23</v>
      </c>
      <c r="G166" s="6">
        <v>197753</v>
      </c>
      <c r="H166" s="6">
        <v>3883</v>
      </c>
      <c r="I166" s="6">
        <v>619</v>
      </c>
      <c r="J166">
        <v>20990.88</v>
      </c>
      <c r="K166">
        <f t="shared" si="16"/>
        <v>0.0196356060337896</v>
      </c>
      <c r="L166">
        <f t="shared" si="22"/>
        <v>1.0899381921195</v>
      </c>
      <c r="M166">
        <f t="shared" si="17"/>
        <v>6.83720516962843</v>
      </c>
      <c r="N166">
        <f t="shared" si="18"/>
        <v>4.95976825456084</v>
      </c>
      <c r="O166">
        <f t="shared" si="19"/>
        <v>16758.65</v>
      </c>
      <c r="P166">
        <f t="shared" si="20"/>
        <v>0.798377676400418</v>
      </c>
      <c r="Q166" t="str">
        <f t="shared" si="21"/>
        <v>2025-01</v>
      </c>
    </row>
    <row r="167" spans="1:17">
      <c r="A167" t="s">
        <v>184</v>
      </c>
      <c r="B167" s="10">
        <v>45716</v>
      </c>
      <c r="C167" t="s">
        <v>19</v>
      </c>
      <c r="D167" t="s">
        <v>20</v>
      </c>
      <c r="E167">
        <v>5473.47</v>
      </c>
      <c r="F167">
        <v>5337.16</v>
      </c>
      <c r="G167" s="6">
        <v>95888</v>
      </c>
      <c r="H167" s="6">
        <v>2400</v>
      </c>
      <c r="I167" s="6">
        <v>189</v>
      </c>
      <c r="J167">
        <v>4220.76</v>
      </c>
      <c r="K167">
        <f t="shared" si="16"/>
        <v>0.0250292007341899</v>
      </c>
      <c r="L167">
        <f t="shared" si="22"/>
        <v>2.22381666666667</v>
      </c>
      <c r="M167">
        <f t="shared" si="17"/>
        <v>28.2389417989418</v>
      </c>
      <c r="N167">
        <f t="shared" si="18"/>
        <v>0.790825083002945</v>
      </c>
      <c r="O167">
        <f t="shared" si="19"/>
        <v>-1116.4</v>
      </c>
      <c r="P167">
        <f t="shared" si="20"/>
        <v>-0.264502127578919</v>
      </c>
      <c r="Q167" t="str">
        <f t="shared" si="21"/>
        <v>2025-02</v>
      </c>
    </row>
    <row r="168" spans="1:17">
      <c r="A168" t="s">
        <v>185</v>
      </c>
      <c r="B168" s="10">
        <v>45720</v>
      </c>
      <c r="C168" t="s">
        <v>22</v>
      </c>
      <c r="D168" t="s">
        <v>17</v>
      </c>
      <c r="E168">
        <v>9820.76</v>
      </c>
      <c r="F168">
        <v>10762.21</v>
      </c>
      <c r="G168" s="6">
        <v>130274</v>
      </c>
      <c r="H168" s="6">
        <v>3999</v>
      </c>
      <c r="I168" s="6">
        <v>83</v>
      </c>
      <c r="J168">
        <v>3398.42</v>
      </c>
      <c r="K168">
        <f t="shared" si="16"/>
        <v>0.0306968389701706</v>
      </c>
      <c r="L168">
        <f t="shared" si="22"/>
        <v>2.69122530632658</v>
      </c>
      <c r="M168">
        <f t="shared" si="17"/>
        <v>129.665180722892</v>
      </c>
      <c r="N168">
        <f t="shared" si="18"/>
        <v>0.315773433151741</v>
      </c>
      <c r="O168">
        <f t="shared" si="19"/>
        <v>-7363.79</v>
      </c>
      <c r="P168">
        <f t="shared" si="20"/>
        <v>-2.16682752573255</v>
      </c>
      <c r="Q168" t="str">
        <f t="shared" si="21"/>
        <v>2025-03</v>
      </c>
    </row>
    <row r="169" spans="1:17">
      <c r="A169" t="s">
        <v>186</v>
      </c>
      <c r="B169" s="10">
        <v>45806</v>
      </c>
      <c r="C169" t="s">
        <v>14</v>
      </c>
      <c r="D169" t="s">
        <v>12</v>
      </c>
      <c r="E169">
        <v>6752.67</v>
      </c>
      <c r="F169">
        <v>6029.18</v>
      </c>
      <c r="G169" s="6">
        <v>53089</v>
      </c>
      <c r="H169" s="6">
        <v>1998</v>
      </c>
      <c r="I169" s="6">
        <v>204</v>
      </c>
      <c r="J169">
        <v>9060.43</v>
      </c>
      <c r="K169">
        <f t="shared" si="16"/>
        <v>0.0376349149541336</v>
      </c>
      <c r="L169">
        <f t="shared" si="22"/>
        <v>3.01760760760761</v>
      </c>
      <c r="M169">
        <f t="shared" si="17"/>
        <v>29.5548039215686</v>
      </c>
      <c r="N169">
        <f t="shared" si="18"/>
        <v>1.50276322816701</v>
      </c>
      <c r="O169">
        <f t="shared" si="19"/>
        <v>3031.25</v>
      </c>
      <c r="P169">
        <f t="shared" si="20"/>
        <v>0.334559176551223</v>
      </c>
      <c r="Q169" t="str">
        <f t="shared" si="21"/>
        <v>2025-05</v>
      </c>
    </row>
    <row r="170" spans="1:17">
      <c r="A170" t="s">
        <v>187</v>
      </c>
      <c r="B170" s="10">
        <v>45770</v>
      </c>
      <c r="C170" t="s">
        <v>24</v>
      </c>
      <c r="D170" t="s">
        <v>15</v>
      </c>
      <c r="E170">
        <v>7793.12</v>
      </c>
      <c r="F170">
        <v>6614.68</v>
      </c>
      <c r="G170" s="6">
        <v>110033</v>
      </c>
      <c r="H170" s="6">
        <v>3132</v>
      </c>
      <c r="I170" s="6">
        <v>85</v>
      </c>
      <c r="J170">
        <v>4022.86</v>
      </c>
      <c r="K170">
        <f t="shared" si="16"/>
        <v>0.0284641880163224</v>
      </c>
      <c r="L170">
        <f t="shared" si="22"/>
        <v>2.11196679438059</v>
      </c>
      <c r="M170">
        <f t="shared" si="17"/>
        <v>77.8197647058824</v>
      </c>
      <c r="N170">
        <f t="shared" si="18"/>
        <v>0.608171521524851</v>
      </c>
      <c r="O170">
        <f t="shared" si="19"/>
        <v>-2591.82</v>
      </c>
      <c r="P170">
        <f t="shared" si="20"/>
        <v>-0.644272979919759</v>
      </c>
      <c r="Q170" t="str">
        <f t="shared" si="21"/>
        <v>2025-04</v>
      </c>
    </row>
    <row r="171" spans="1:17">
      <c r="A171" t="s">
        <v>188</v>
      </c>
      <c r="B171" s="10">
        <v>45636</v>
      </c>
      <c r="C171" t="s">
        <v>19</v>
      </c>
      <c r="D171" t="s">
        <v>17</v>
      </c>
      <c r="E171">
        <v>8757.76</v>
      </c>
      <c r="F171">
        <v>9501.64</v>
      </c>
      <c r="G171" s="6">
        <v>75315</v>
      </c>
      <c r="H171" s="6">
        <v>1121</v>
      </c>
      <c r="I171" s="6">
        <v>85</v>
      </c>
      <c r="J171">
        <v>3550.58</v>
      </c>
      <c r="K171">
        <f t="shared" si="16"/>
        <v>0.0148841532231295</v>
      </c>
      <c r="L171">
        <f t="shared" ref="L171:L202" si="23">F171/H171</f>
        <v>8.47603925066904</v>
      </c>
      <c r="M171">
        <f t="shared" si="17"/>
        <v>111.784</v>
      </c>
      <c r="N171">
        <f t="shared" si="18"/>
        <v>0.373680754059299</v>
      </c>
      <c r="O171">
        <f t="shared" si="19"/>
        <v>-5951.06</v>
      </c>
      <c r="P171">
        <f t="shared" si="20"/>
        <v>-1.67608109097669</v>
      </c>
      <c r="Q171" t="str">
        <f t="shared" si="21"/>
        <v>2024-12</v>
      </c>
    </row>
    <row r="172" spans="1:17">
      <c r="A172" t="s">
        <v>189</v>
      </c>
      <c r="B172" s="10">
        <v>45816</v>
      </c>
      <c r="C172" t="s">
        <v>14</v>
      </c>
      <c r="D172" t="s">
        <v>12</v>
      </c>
      <c r="E172">
        <v>7293.91</v>
      </c>
      <c r="F172">
        <v>6750.32</v>
      </c>
      <c r="G172" s="6">
        <v>194023</v>
      </c>
      <c r="H172" s="6">
        <v>9171</v>
      </c>
      <c r="I172" s="6">
        <v>1138</v>
      </c>
      <c r="J172">
        <v>54603.35</v>
      </c>
      <c r="K172">
        <f t="shared" si="16"/>
        <v>0.0472675919865171</v>
      </c>
      <c r="L172">
        <f t="shared" si="23"/>
        <v>0.736050594264529</v>
      </c>
      <c r="M172">
        <f t="shared" si="17"/>
        <v>5.93173989455185</v>
      </c>
      <c r="N172">
        <f t="shared" si="18"/>
        <v>8.08900170658576</v>
      </c>
      <c r="O172">
        <f t="shared" si="19"/>
        <v>47853.03</v>
      </c>
      <c r="P172">
        <f t="shared" si="20"/>
        <v>0.876375350596621</v>
      </c>
      <c r="Q172" t="str">
        <f t="shared" si="21"/>
        <v>2025-06</v>
      </c>
    </row>
    <row r="173" spans="1:17">
      <c r="A173" t="s">
        <v>190</v>
      </c>
      <c r="B173" s="10">
        <v>45713</v>
      </c>
      <c r="C173" t="s">
        <v>19</v>
      </c>
      <c r="D173" t="s">
        <v>20</v>
      </c>
      <c r="E173">
        <v>9062.45</v>
      </c>
      <c r="F173">
        <v>7372.9</v>
      </c>
      <c r="G173" s="6">
        <v>105156</v>
      </c>
      <c r="H173" s="6">
        <v>3813</v>
      </c>
      <c r="I173" s="6">
        <v>632</v>
      </c>
      <c r="J173">
        <v>13139.92</v>
      </c>
      <c r="K173">
        <f t="shared" si="16"/>
        <v>0.0362604131005363</v>
      </c>
      <c r="L173">
        <f t="shared" si="23"/>
        <v>1.93362182008917</v>
      </c>
      <c r="M173">
        <f t="shared" si="17"/>
        <v>11.6659810126582</v>
      </c>
      <c r="N173">
        <f t="shared" si="18"/>
        <v>1.78219153928576</v>
      </c>
      <c r="O173">
        <f t="shared" si="19"/>
        <v>5767.02</v>
      </c>
      <c r="P173">
        <f t="shared" si="20"/>
        <v>0.438893083062911</v>
      </c>
      <c r="Q173" t="str">
        <f t="shared" si="21"/>
        <v>2025-02</v>
      </c>
    </row>
    <row r="174" spans="1:17">
      <c r="A174" t="s">
        <v>191</v>
      </c>
      <c r="B174" s="10">
        <v>45781</v>
      </c>
      <c r="C174" t="s">
        <v>22</v>
      </c>
      <c r="D174" t="s">
        <v>17</v>
      </c>
      <c r="E174">
        <v>5635.24</v>
      </c>
      <c r="F174">
        <v>5878.49</v>
      </c>
      <c r="G174" s="6">
        <v>136337</v>
      </c>
      <c r="H174" s="6">
        <v>3490</v>
      </c>
      <c r="I174" s="6">
        <v>132</v>
      </c>
      <c r="J174">
        <v>6549.61</v>
      </c>
      <c r="K174">
        <f t="shared" si="16"/>
        <v>0.0255983335411517</v>
      </c>
      <c r="L174">
        <f t="shared" si="23"/>
        <v>1.68438108882521</v>
      </c>
      <c r="M174">
        <f t="shared" si="17"/>
        <v>44.5340151515151</v>
      </c>
      <c r="N174">
        <f t="shared" si="18"/>
        <v>1.11416537240006</v>
      </c>
      <c r="O174">
        <f t="shared" si="19"/>
        <v>671.12</v>
      </c>
      <c r="P174">
        <f t="shared" si="20"/>
        <v>0.10246716980095</v>
      </c>
      <c r="Q174" t="str">
        <f t="shared" si="21"/>
        <v>2025-05</v>
      </c>
    </row>
    <row r="175" spans="1:17">
      <c r="A175" t="s">
        <v>192</v>
      </c>
      <c r="B175" s="10">
        <v>45708</v>
      </c>
      <c r="C175" t="s">
        <v>14</v>
      </c>
      <c r="D175" t="s">
        <v>20</v>
      </c>
      <c r="E175">
        <v>4052.92</v>
      </c>
      <c r="F175">
        <v>3964.73</v>
      </c>
      <c r="G175" s="6">
        <v>191309</v>
      </c>
      <c r="H175" s="6">
        <v>5182</v>
      </c>
      <c r="I175" s="6">
        <v>356</v>
      </c>
      <c r="J175">
        <v>11187.91</v>
      </c>
      <c r="K175">
        <f t="shared" si="16"/>
        <v>0.027087068564469</v>
      </c>
      <c r="L175">
        <f t="shared" si="23"/>
        <v>0.765096487842532</v>
      </c>
      <c r="M175">
        <f t="shared" si="17"/>
        <v>11.1368820224719</v>
      </c>
      <c r="N175">
        <f t="shared" si="18"/>
        <v>2.82185924388294</v>
      </c>
      <c r="O175">
        <f t="shared" si="19"/>
        <v>7223.18</v>
      </c>
      <c r="P175">
        <f t="shared" si="20"/>
        <v>0.645623713454971</v>
      </c>
      <c r="Q175" t="str">
        <f t="shared" si="21"/>
        <v>2025-02</v>
      </c>
    </row>
    <row r="176" spans="1:17">
      <c r="A176" t="s">
        <v>193</v>
      </c>
      <c r="B176" s="10">
        <v>45637</v>
      </c>
      <c r="C176" t="s">
        <v>24</v>
      </c>
      <c r="D176" t="s">
        <v>20</v>
      </c>
      <c r="E176">
        <v>9789.4</v>
      </c>
      <c r="F176">
        <v>10304.67</v>
      </c>
      <c r="G176" s="6">
        <v>143568</v>
      </c>
      <c r="H176" s="6">
        <v>6593</v>
      </c>
      <c r="I176" s="6">
        <v>869</v>
      </c>
      <c r="J176">
        <v>39235.23</v>
      </c>
      <c r="K176">
        <f t="shared" si="16"/>
        <v>0.0459224896912961</v>
      </c>
      <c r="L176">
        <f t="shared" si="23"/>
        <v>1.56297133323222</v>
      </c>
      <c r="M176">
        <f t="shared" si="17"/>
        <v>11.8580782508631</v>
      </c>
      <c r="N176">
        <f t="shared" si="18"/>
        <v>3.80751930920641</v>
      </c>
      <c r="O176">
        <f t="shared" si="19"/>
        <v>28930.56</v>
      </c>
      <c r="P176">
        <f t="shared" si="20"/>
        <v>0.737361804684209</v>
      </c>
      <c r="Q176" t="str">
        <f t="shared" si="21"/>
        <v>2024-12</v>
      </c>
    </row>
    <row r="177" spans="1:17">
      <c r="A177" t="s">
        <v>194</v>
      </c>
      <c r="B177" s="10">
        <v>45790</v>
      </c>
      <c r="C177" t="s">
        <v>14</v>
      </c>
      <c r="D177" t="s">
        <v>12</v>
      </c>
      <c r="E177">
        <v>6280.85</v>
      </c>
      <c r="F177">
        <v>5806.31</v>
      </c>
      <c r="G177" s="6">
        <v>69711</v>
      </c>
      <c r="H177" s="6">
        <v>1173</v>
      </c>
      <c r="I177" s="6">
        <v>209</v>
      </c>
      <c r="J177">
        <v>5894.26</v>
      </c>
      <c r="K177">
        <f t="shared" si="16"/>
        <v>0.0168266127296983</v>
      </c>
      <c r="L177">
        <f t="shared" si="23"/>
        <v>4.94996589940324</v>
      </c>
      <c r="M177">
        <f t="shared" si="17"/>
        <v>27.7813875598086</v>
      </c>
      <c r="N177">
        <f t="shared" si="18"/>
        <v>1.0151473138706</v>
      </c>
      <c r="O177">
        <f t="shared" si="19"/>
        <v>87.9499999999998</v>
      </c>
      <c r="P177">
        <f t="shared" si="20"/>
        <v>0.0149212963120052</v>
      </c>
      <c r="Q177" t="str">
        <f t="shared" si="21"/>
        <v>2025-05</v>
      </c>
    </row>
    <row r="178" spans="1:17">
      <c r="A178" t="s">
        <v>195</v>
      </c>
      <c r="B178" s="10">
        <v>45766</v>
      </c>
      <c r="C178" t="s">
        <v>14</v>
      </c>
      <c r="D178" t="s">
        <v>17</v>
      </c>
      <c r="E178">
        <v>3394.63</v>
      </c>
      <c r="F178">
        <v>3596.33</v>
      </c>
      <c r="G178" s="6">
        <v>114949</v>
      </c>
      <c r="H178" s="6">
        <v>3456</v>
      </c>
      <c r="I178" s="6">
        <v>294</v>
      </c>
      <c r="J178">
        <v>13049.79</v>
      </c>
      <c r="K178">
        <f t="shared" si="16"/>
        <v>0.0300655073119383</v>
      </c>
      <c r="L178">
        <f t="shared" si="23"/>
        <v>1.04060474537037</v>
      </c>
      <c r="M178">
        <f t="shared" si="17"/>
        <v>12.2324149659864</v>
      </c>
      <c r="N178">
        <f t="shared" si="18"/>
        <v>3.6286408644368</v>
      </c>
      <c r="O178">
        <f t="shared" si="19"/>
        <v>9453.46</v>
      </c>
      <c r="P178">
        <f t="shared" si="20"/>
        <v>0.724414722382506</v>
      </c>
      <c r="Q178" t="str">
        <f t="shared" si="21"/>
        <v>2025-04</v>
      </c>
    </row>
    <row r="179" spans="1:17">
      <c r="A179" t="s">
        <v>196</v>
      </c>
      <c r="B179" s="10">
        <v>45768</v>
      </c>
      <c r="C179" t="s">
        <v>14</v>
      </c>
      <c r="D179" t="s">
        <v>17</v>
      </c>
      <c r="E179">
        <v>9998.02</v>
      </c>
      <c r="F179">
        <v>10987.73</v>
      </c>
      <c r="G179" s="6">
        <v>128670</v>
      </c>
      <c r="H179" s="6">
        <v>4786</v>
      </c>
      <c r="I179" s="6">
        <v>820</v>
      </c>
      <c r="J179">
        <v>30063.62</v>
      </c>
      <c r="K179">
        <f t="shared" si="16"/>
        <v>0.0371959275666434</v>
      </c>
      <c r="L179">
        <f t="shared" si="23"/>
        <v>2.29580651901379</v>
      </c>
      <c r="M179">
        <f t="shared" si="17"/>
        <v>13.3996707317073</v>
      </c>
      <c r="N179">
        <f t="shared" si="18"/>
        <v>2.73610836815248</v>
      </c>
      <c r="O179">
        <f t="shared" si="19"/>
        <v>19075.89</v>
      </c>
      <c r="P179">
        <f t="shared" si="20"/>
        <v>0.634517400100188</v>
      </c>
      <c r="Q179" t="str">
        <f t="shared" si="21"/>
        <v>2025-04</v>
      </c>
    </row>
    <row r="180" spans="1:17">
      <c r="A180" t="s">
        <v>197</v>
      </c>
      <c r="B180" s="10">
        <v>45646</v>
      </c>
      <c r="C180" t="s">
        <v>14</v>
      </c>
      <c r="D180" t="s">
        <v>15</v>
      </c>
      <c r="E180">
        <v>8382.91</v>
      </c>
      <c r="F180">
        <v>9082.29</v>
      </c>
      <c r="G180" s="6">
        <v>92405</v>
      </c>
      <c r="H180" s="6">
        <v>3028</v>
      </c>
      <c r="I180" s="6">
        <v>356</v>
      </c>
      <c r="J180">
        <v>16194.23</v>
      </c>
      <c r="K180">
        <f t="shared" si="16"/>
        <v>0.0327687895676641</v>
      </c>
      <c r="L180">
        <f t="shared" si="23"/>
        <v>2.99943527080581</v>
      </c>
      <c r="M180">
        <f t="shared" si="17"/>
        <v>25.5120505617978</v>
      </c>
      <c r="N180">
        <f t="shared" si="18"/>
        <v>1.78305581521841</v>
      </c>
      <c r="O180">
        <f t="shared" si="19"/>
        <v>7111.94</v>
      </c>
      <c r="P180">
        <f t="shared" si="20"/>
        <v>0.439165060641969</v>
      </c>
      <c r="Q180" t="str">
        <f t="shared" si="21"/>
        <v>2024-12</v>
      </c>
    </row>
    <row r="181" spans="1:17">
      <c r="A181" t="s">
        <v>198</v>
      </c>
      <c r="B181" s="10">
        <v>45708</v>
      </c>
      <c r="C181" t="s">
        <v>14</v>
      </c>
      <c r="D181" t="s">
        <v>12</v>
      </c>
      <c r="E181">
        <v>4731.44</v>
      </c>
      <c r="F181">
        <v>4424.67</v>
      </c>
      <c r="G181" s="6">
        <v>113689</v>
      </c>
      <c r="H181" s="6">
        <v>4258</v>
      </c>
      <c r="I181" s="6">
        <v>100</v>
      </c>
      <c r="J181">
        <v>2387.48</v>
      </c>
      <c r="K181">
        <f t="shared" si="16"/>
        <v>0.0374530517464311</v>
      </c>
      <c r="L181">
        <f t="shared" si="23"/>
        <v>1.03914279004227</v>
      </c>
      <c r="M181">
        <f t="shared" si="17"/>
        <v>44.2467</v>
      </c>
      <c r="N181">
        <f t="shared" si="18"/>
        <v>0.539583742968402</v>
      </c>
      <c r="O181">
        <f t="shared" si="19"/>
        <v>-2037.19</v>
      </c>
      <c r="P181">
        <f t="shared" si="20"/>
        <v>-0.853280446328346</v>
      </c>
      <c r="Q181" t="str">
        <f t="shared" si="21"/>
        <v>2025-02</v>
      </c>
    </row>
    <row r="182" spans="1:17">
      <c r="A182" t="s">
        <v>199</v>
      </c>
      <c r="B182" s="10">
        <v>45696</v>
      </c>
      <c r="C182" t="s">
        <v>24</v>
      </c>
      <c r="D182" t="s">
        <v>17</v>
      </c>
      <c r="E182">
        <v>9678.36</v>
      </c>
      <c r="F182">
        <v>9502.72</v>
      </c>
      <c r="G182" s="6">
        <v>72317</v>
      </c>
      <c r="H182" s="6">
        <v>1429</v>
      </c>
      <c r="I182" s="6">
        <v>157</v>
      </c>
      <c r="J182">
        <v>4216.91</v>
      </c>
      <c r="K182">
        <f t="shared" si="16"/>
        <v>0.0197602223543565</v>
      </c>
      <c r="L182">
        <f t="shared" si="23"/>
        <v>6.64990902729181</v>
      </c>
      <c r="M182">
        <f t="shared" si="17"/>
        <v>60.5268789808917</v>
      </c>
      <c r="N182">
        <f t="shared" si="18"/>
        <v>0.443758208176185</v>
      </c>
      <c r="O182">
        <f t="shared" si="19"/>
        <v>-5285.81</v>
      </c>
      <c r="P182">
        <f t="shared" si="20"/>
        <v>-1.25347944347876</v>
      </c>
      <c r="Q182" t="str">
        <f t="shared" si="21"/>
        <v>2025-02</v>
      </c>
    </row>
    <row r="183" spans="1:17">
      <c r="A183" t="s">
        <v>200</v>
      </c>
      <c r="B183" s="10">
        <v>45715</v>
      </c>
      <c r="C183" t="s">
        <v>19</v>
      </c>
      <c r="D183" t="s">
        <v>15</v>
      </c>
      <c r="E183">
        <v>7701.9</v>
      </c>
      <c r="F183">
        <v>7589.75</v>
      </c>
      <c r="G183" s="6">
        <v>59223</v>
      </c>
      <c r="H183" s="6">
        <v>1286</v>
      </c>
      <c r="I183" s="6">
        <v>233</v>
      </c>
      <c r="J183">
        <v>7163.56</v>
      </c>
      <c r="K183">
        <f t="shared" si="16"/>
        <v>0.0217145365820712</v>
      </c>
      <c r="L183">
        <f t="shared" si="23"/>
        <v>5.90182737169518</v>
      </c>
      <c r="M183">
        <f t="shared" si="17"/>
        <v>32.574034334764</v>
      </c>
      <c r="N183">
        <f t="shared" si="18"/>
        <v>0.943846635264666</v>
      </c>
      <c r="O183">
        <f t="shared" si="19"/>
        <v>-426.19</v>
      </c>
      <c r="P183">
        <f t="shared" si="20"/>
        <v>-0.0594941621205099</v>
      </c>
      <c r="Q183" t="str">
        <f t="shared" si="21"/>
        <v>2025-02</v>
      </c>
    </row>
    <row r="184" spans="1:17">
      <c r="A184" t="s">
        <v>201</v>
      </c>
      <c r="B184" s="10">
        <v>45702</v>
      </c>
      <c r="C184" t="s">
        <v>19</v>
      </c>
      <c r="D184" t="s">
        <v>20</v>
      </c>
      <c r="E184">
        <v>3794.9</v>
      </c>
      <c r="F184">
        <v>3800.49</v>
      </c>
      <c r="G184" s="6">
        <v>123058</v>
      </c>
      <c r="H184" s="6">
        <v>4679</v>
      </c>
      <c r="I184" s="6">
        <v>186</v>
      </c>
      <c r="J184">
        <v>6623.32</v>
      </c>
      <c r="K184">
        <f t="shared" si="16"/>
        <v>0.0380227209933527</v>
      </c>
      <c r="L184">
        <f t="shared" si="23"/>
        <v>0.812244069245565</v>
      </c>
      <c r="M184">
        <f t="shared" si="17"/>
        <v>20.4327419354839</v>
      </c>
      <c r="N184">
        <f t="shared" si="18"/>
        <v>1.74275422379746</v>
      </c>
      <c r="O184">
        <f t="shared" si="19"/>
        <v>2822.83</v>
      </c>
      <c r="P184">
        <f t="shared" si="20"/>
        <v>0.426195623946903</v>
      </c>
      <c r="Q184" t="str">
        <f t="shared" si="21"/>
        <v>2025-02</v>
      </c>
    </row>
    <row r="185" spans="1:17">
      <c r="A185" t="s">
        <v>202</v>
      </c>
      <c r="B185" s="10">
        <v>45665</v>
      </c>
      <c r="C185" t="s">
        <v>19</v>
      </c>
      <c r="D185" t="s">
        <v>17</v>
      </c>
      <c r="E185">
        <v>8406.23</v>
      </c>
      <c r="F185">
        <v>8036.77</v>
      </c>
      <c r="G185" s="6">
        <v>133482</v>
      </c>
      <c r="H185" s="6">
        <v>2397</v>
      </c>
      <c r="I185" s="6">
        <v>50</v>
      </c>
      <c r="J185">
        <v>2278.27</v>
      </c>
      <c r="K185">
        <f t="shared" si="16"/>
        <v>0.0179574774126849</v>
      </c>
      <c r="L185">
        <f t="shared" si="23"/>
        <v>3.35284522319566</v>
      </c>
      <c r="M185">
        <f t="shared" si="17"/>
        <v>160.7354</v>
      </c>
      <c r="N185">
        <f t="shared" si="18"/>
        <v>0.283480801366718</v>
      </c>
      <c r="O185">
        <f t="shared" si="19"/>
        <v>-5758.5</v>
      </c>
      <c r="P185">
        <f t="shared" si="20"/>
        <v>-2.52757574826513</v>
      </c>
      <c r="Q185" t="str">
        <f t="shared" si="21"/>
        <v>2025-01</v>
      </c>
    </row>
    <row r="186" spans="1:17">
      <c r="A186" t="s">
        <v>203</v>
      </c>
      <c r="B186" s="10">
        <v>45765</v>
      </c>
      <c r="C186" t="s">
        <v>11</v>
      </c>
      <c r="D186" t="s">
        <v>15</v>
      </c>
      <c r="E186">
        <v>6863.35</v>
      </c>
      <c r="F186">
        <v>6645.65</v>
      </c>
      <c r="G186" s="6">
        <v>130705</v>
      </c>
      <c r="H186" s="6">
        <v>4818</v>
      </c>
      <c r="I186" s="6">
        <v>159</v>
      </c>
      <c r="J186">
        <v>7361.64</v>
      </c>
      <c r="K186">
        <f t="shared" si="16"/>
        <v>0.0368616349795341</v>
      </c>
      <c r="L186">
        <f t="shared" si="23"/>
        <v>1.37933789954338</v>
      </c>
      <c r="M186">
        <f t="shared" si="17"/>
        <v>41.7965408805031</v>
      </c>
      <c r="N186">
        <f t="shared" si="18"/>
        <v>1.10773814450054</v>
      </c>
      <c r="O186">
        <f t="shared" si="19"/>
        <v>715.990000000001</v>
      </c>
      <c r="P186">
        <f t="shared" si="20"/>
        <v>0.0972595780288089</v>
      </c>
      <c r="Q186" t="str">
        <f t="shared" si="21"/>
        <v>2025-04</v>
      </c>
    </row>
    <row r="187" spans="1:17">
      <c r="A187" t="s">
        <v>204</v>
      </c>
      <c r="B187" s="10">
        <v>45729</v>
      </c>
      <c r="C187" t="s">
        <v>22</v>
      </c>
      <c r="D187" t="s">
        <v>12</v>
      </c>
      <c r="E187">
        <v>5824.38</v>
      </c>
      <c r="F187">
        <v>4893.67</v>
      </c>
      <c r="G187" s="6">
        <v>168213</v>
      </c>
      <c r="H187" s="6">
        <v>2627</v>
      </c>
      <c r="I187" s="6">
        <v>160</v>
      </c>
      <c r="J187">
        <v>3338.16</v>
      </c>
      <c r="K187">
        <f t="shared" si="16"/>
        <v>0.0156171045044081</v>
      </c>
      <c r="L187">
        <f t="shared" si="23"/>
        <v>1.86283593452608</v>
      </c>
      <c r="M187">
        <f t="shared" si="17"/>
        <v>30.5854375</v>
      </c>
      <c r="N187">
        <f t="shared" si="18"/>
        <v>0.682138354241295</v>
      </c>
      <c r="O187">
        <f t="shared" si="19"/>
        <v>-1555.51</v>
      </c>
      <c r="P187">
        <f t="shared" si="20"/>
        <v>-0.465978263474489</v>
      </c>
      <c r="Q187" t="str">
        <f t="shared" si="21"/>
        <v>2025-03</v>
      </c>
    </row>
    <row r="188" spans="1:17">
      <c r="A188" t="s">
        <v>205</v>
      </c>
      <c r="B188" s="10">
        <v>45759</v>
      </c>
      <c r="C188" t="s">
        <v>11</v>
      </c>
      <c r="D188" t="s">
        <v>12</v>
      </c>
      <c r="E188">
        <v>8285.96</v>
      </c>
      <c r="F188">
        <v>8170.73</v>
      </c>
      <c r="G188" s="6">
        <v>55771</v>
      </c>
      <c r="H188" s="6">
        <v>1773</v>
      </c>
      <c r="I188" s="6">
        <v>177</v>
      </c>
      <c r="J188">
        <v>7278.66</v>
      </c>
      <c r="K188">
        <f t="shared" si="16"/>
        <v>0.0317907156048843</v>
      </c>
      <c r="L188">
        <f t="shared" si="23"/>
        <v>4.60842075578116</v>
      </c>
      <c r="M188">
        <f t="shared" si="17"/>
        <v>46.1623163841808</v>
      </c>
      <c r="N188">
        <f t="shared" si="18"/>
        <v>0.890821260768622</v>
      </c>
      <c r="O188">
        <f t="shared" si="19"/>
        <v>-892.07</v>
      </c>
      <c r="P188">
        <f t="shared" si="20"/>
        <v>-0.122559646967986</v>
      </c>
      <c r="Q188" t="str">
        <f t="shared" si="21"/>
        <v>2025-04</v>
      </c>
    </row>
    <row r="189" spans="1:17">
      <c r="A189" t="s">
        <v>206</v>
      </c>
      <c r="B189" s="10">
        <v>45725</v>
      </c>
      <c r="C189" t="s">
        <v>19</v>
      </c>
      <c r="D189" t="s">
        <v>15</v>
      </c>
      <c r="E189">
        <v>4490.75</v>
      </c>
      <c r="F189">
        <v>3776.32</v>
      </c>
      <c r="G189" s="6">
        <v>158774</v>
      </c>
      <c r="H189" s="6">
        <v>5263</v>
      </c>
      <c r="I189" s="6">
        <v>268</v>
      </c>
      <c r="J189">
        <v>5476.94</v>
      </c>
      <c r="K189">
        <f t="shared" si="16"/>
        <v>0.0331477445929434</v>
      </c>
      <c r="L189">
        <f t="shared" si="23"/>
        <v>0.71752232566977</v>
      </c>
      <c r="M189">
        <f t="shared" si="17"/>
        <v>14.0907462686567</v>
      </c>
      <c r="N189">
        <f t="shared" si="18"/>
        <v>1.45033789509364</v>
      </c>
      <c r="O189">
        <f t="shared" si="19"/>
        <v>1700.62</v>
      </c>
      <c r="P189">
        <f t="shared" si="20"/>
        <v>0.310505501247047</v>
      </c>
      <c r="Q189" t="str">
        <f t="shared" si="21"/>
        <v>2025-03</v>
      </c>
    </row>
    <row r="190" spans="1:17">
      <c r="A190" t="s">
        <v>207</v>
      </c>
      <c r="B190" s="10">
        <v>45643</v>
      </c>
      <c r="C190" t="s">
        <v>11</v>
      </c>
      <c r="D190" t="s">
        <v>20</v>
      </c>
      <c r="E190">
        <v>5454.11</v>
      </c>
      <c r="F190">
        <v>5328.53</v>
      </c>
      <c r="G190" s="6">
        <v>167161</v>
      </c>
      <c r="H190" s="6">
        <v>1156</v>
      </c>
      <c r="I190" s="6">
        <v>85</v>
      </c>
      <c r="J190">
        <v>2700.22</v>
      </c>
      <c r="K190">
        <f t="shared" si="16"/>
        <v>0.00691548866063256</v>
      </c>
      <c r="L190">
        <f t="shared" si="23"/>
        <v>4.60945501730104</v>
      </c>
      <c r="M190">
        <f t="shared" si="17"/>
        <v>62.6885882352941</v>
      </c>
      <c r="N190">
        <f t="shared" si="18"/>
        <v>0.506747639592908</v>
      </c>
      <c r="O190">
        <f t="shared" si="19"/>
        <v>-2628.31</v>
      </c>
      <c r="P190">
        <f t="shared" si="20"/>
        <v>-0.973368836613313</v>
      </c>
      <c r="Q190" t="str">
        <f t="shared" si="21"/>
        <v>2024-12</v>
      </c>
    </row>
    <row r="191" spans="1:17">
      <c r="A191" t="s">
        <v>208</v>
      </c>
      <c r="B191" s="10">
        <v>45804</v>
      </c>
      <c r="C191" t="s">
        <v>14</v>
      </c>
      <c r="D191" t="s">
        <v>17</v>
      </c>
      <c r="E191">
        <v>6062.32</v>
      </c>
      <c r="F191">
        <v>6494.25</v>
      </c>
      <c r="G191" s="6">
        <v>54315</v>
      </c>
      <c r="H191" s="6">
        <v>1126</v>
      </c>
      <c r="I191" s="6">
        <v>180</v>
      </c>
      <c r="J191">
        <v>5480.58</v>
      </c>
      <c r="K191">
        <f t="shared" si="16"/>
        <v>0.0207309214765719</v>
      </c>
      <c r="L191">
        <f t="shared" si="23"/>
        <v>5.76753996447602</v>
      </c>
      <c r="M191">
        <f t="shared" si="17"/>
        <v>36.0791666666667</v>
      </c>
      <c r="N191">
        <f t="shared" si="18"/>
        <v>0.843912691996766</v>
      </c>
      <c r="O191">
        <f t="shared" si="19"/>
        <v>-1013.67</v>
      </c>
      <c r="P191">
        <f t="shared" si="20"/>
        <v>-0.184956701662963</v>
      </c>
      <c r="Q191" t="str">
        <f t="shared" si="21"/>
        <v>2025-05</v>
      </c>
    </row>
    <row r="192" spans="1:17">
      <c r="A192" t="s">
        <v>209</v>
      </c>
      <c r="B192" s="10">
        <v>45703</v>
      </c>
      <c r="C192" t="s">
        <v>22</v>
      </c>
      <c r="D192" t="s">
        <v>12</v>
      </c>
      <c r="E192">
        <v>6597.93</v>
      </c>
      <c r="F192">
        <v>6829.49</v>
      </c>
      <c r="G192" s="6">
        <v>112474</v>
      </c>
      <c r="H192" s="6">
        <v>3364</v>
      </c>
      <c r="I192" s="6">
        <v>62</v>
      </c>
      <c r="J192">
        <v>1977.57</v>
      </c>
      <c r="K192">
        <f t="shared" si="16"/>
        <v>0.0299091345555417</v>
      </c>
      <c r="L192">
        <f t="shared" si="23"/>
        <v>2.0301694411415</v>
      </c>
      <c r="M192">
        <f t="shared" si="17"/>
        <v>110.153064516129</v>
      </c>
      <c r="N192">
        <f t="shared" si="18"/>
        <v>0.289563349532688</v>
      </c>
      <c r="O192">
        <f t="shared" si="19"/>
        <v>-4851.92</v>
      </c>
      <c r="P192">
        <f t="shared" si="20"/>
        <v>-2.45347573031549</v>
      </c>
      <c r="Q192" t="str">
        <f t="shared" si="21"/>
        <v>2025-02</v>
      </c>
    </row>
    <row r="193" spans="1:17">
      <c r="A193" t="s">
        <v>210</v>
      </c>
      <c r="B193" s="10">
        <v>45673</v>
      </c>
      <c r="C193" t="s">
        <v>14</v>
      </c>
      <c r="D193" t="s">
        <v>20</v>
      </c>
      <c r="E193">
        <v>7354.61</v>
      </c>
      <c r="F193">
        <v>7786.39</v>
      </c>
      <c r="G193" s="6">
        <v>76227</v>
      </c>
      <c r="H193" s="6">
        <v>3059</v>
      </c>
      <c r="I193" s="6">
        <v>504</v>
      </c>
      <c r="J193">
        <v>24436.75</v>
      </c>
      <c r="K193">
        <f t="shared" si="16"/>
        <v>0.0401301376152807</v>
      </c>
      <c r="L193">
        <f t="shared" si="23"/>
        <v>2.54540372670807</v>
      </c>
      <c r="M193">
        <f t="shared" si="17"/>
        <v>15.4491865079365</v>
      </c>
      <c r="N193">
        <f t="shared" si="18"/>
        <v>3.13839275967425</v>
      </c>
      <c r="O193">
        <f t="shared" si="19"/>
        <v>16650.36</v>
      </c>
      <c r="P193">
        <f t="shared" si="20"/>
        <v>0.681365566206636</v>
      </c>
      <c r="Q193" t="str">
        <f t="shared" si="21"/>
        <v>2025-01</v>
      </c>
    </row>
    <row r="194" spans="1:17">
      <c r="A194" t="s">
        <v>211</v>
      </c>
      <c r="B194" s="10">
        <v>45747</v>
      </c>
      <c r="C194" t="s">
        <v>19</v>
      </c>
      <c r="D194" t="s">
        <v>20</v>
      </c>
      <c r="E194">
        <v>4029.51</v>
      </c>
      <c r="F194">
        <v>4343.72</v>
      </c>
      <c r="G194" s="6">
        <v>85573</v>
      </c>
      <c r="H194" s="6">
        <v>1887</v>
      </c>
      <c r="I194" s="6">
        <v>171</v>
      </c>
      <c r="J194">
        <v>5944.56</v>
      </c>
      <c r="K194">
        <f t="shared" si="16"/>
        <v>0.022051347971907</v>
      </c>
      <c r="L194">
        <f t="shared" si="23"/>
        <v>2.30191838897721</v>
      </c>
      <c r="M194">
        <f t="shared" si="17"/>
        <v>25.4018713450292</v>
      </c>
      <c r="N194">
        <f t="shared" si="18"/>
        <v>1.36854125035684</v>
      </c>
      <c r="O194">
        <f t="shared" si="19"/>
        <v>1600.84</v>
      </c>
      <c r="P194">
        <f t="shared" si="20"/>
        <v>0.269294952023363</v>
      </c>
      <c r="Q194" t="str">
        <f t="shared" si="21"/>
        <v>2025-03</v>
      </c>
    </row>
    <row r="195" spans="1:17">
      <c r="A195" t="s">
        <v>212</v>
      </c>
      <c r="B195" s="10">
        <v>45641</v>
      </c>
      <c r="C195" t="s">
        <v>24</v>
      </c>
      <c r="D195" t="s">
        <v>15</v>
      </c>
      <c r="E195">
        <v>4807.71</v>
      </c>
      <c r="F195">
        <v>4508.39</v>
      </c>
      <c r="G195" s="6">
        <v>156215</v>
      </c>
      <c r="H195" s="6">
        <v>6524</v>
      </c>
      <c r="I195" s="6">
        <v>641</v>
      </c>
      <c r="J195">
        <v>31666.03</v>
      </c>
      <c r="K195">
        <f t="shared" ref="K195:K258" si="24">H195/G195</f>
        <v>0.041762954901898</v>
      </c>
      <c r="L195">
        <f t="shared" si="23"/>
        <v>0.691046903740037</v>
      </c>
      <c r="M195">
        <f t="shared" ref="M195:M258" si="25">F195/I195</f>
        <v>7.03336973478939</v>
      </c>
      <c r="N195">
        <f t="shared" ref="N195:N258" si="26">J195/F195</f>
        <v>7.02380007053516</v>
      </c>
      <c r="O195">
        <f t="shared" ref="O195:O258" si="27">J195-F195</f>
        <v>27157.64</v>
      </c>
      <c r="P195">
        <f t="shared" ref="P195:P258" si="28">O195/J195</f>
        <v>0.857626927025586</v>
      </c>
      <c r="Q195" t="str">
        <f t="shared" ref="Q195:Q258" si="29">TEXT(B195,"yyyy-mm")</f>
        <v>2024-12</v>
      </c>
    </row>
    <row r="196" spans="1:17">
      <c r="A196" t="s">
        <v>213</v>
      </c>
      <c r="B196" s="10">
        <v>45817</v>
      </c>
      <c r="C196" t="s">
        <v>14</v>
      </c>
      <c r="D196" t="s">
        <v>20</v>
      </c>
      <c r="E196">
        <v>6448.33</v>
      </c>
      <c r="F196">
        <v>5794.63</v>
      </c>
      <c r="G196" s="6">
        <v>83163</v>
      </c>
      <c r="H196" s="6">
        <v>2401</v>
      </c>
      <c r="I196" s="6">
        <v>165</v>
      </c>
      <c r="J196">
        <v>6435.33</v>
      </c>
      <c r="K196">
        <f t="shared" si="24"/>
        <v>0.0288710123492418</v>
      </c>
      <c r="L196">
        <f t="shared" si="23"/>
        <v>2.41342357351104</v>
      </c>
      <c r="M196">
        <f t="shared" si="25"/>
        <v>35.1189696969697</v>
      </c>
      <c r="N196">
        <f t="shared" si="26"/>
        <v>1.11056788785479</v>
      </c>
      <c r="O196">
        <f t="shared" si="27"/>
        <v>640.7</v>
      </c>
      <c r="P196">
        <f t="shared" si="28"/>
        <v>0.0995597739354469</v>
      </c>
      <c r="Q196" t="str">
        <f t="shared" si="29"/>
        <v>2025-06</v>
      </c>
    </row>
    <row r="197" spans="1:17">
      <c r="A197" t="s">
        <v>214</v>
      </c>
      <c r="B197" s="10">
        <v>45776</v>
      </c>
      <c r="C197" t="s">
        <v>22</v>
      </c>
      <c r="D197" t="s">
        <v>20</v>
      </c>
      <c r="E197">
        <v>4681.02</v>
      </c>
      <c r="F197">
        <v>3851.35</v>
      </c>
      <c r="G197" s="6">
        <v>122395</v>
      </c>
      <c r="H197" s="6">
        <v>3701</v>
      </c>
      <c r="I197" s="6">
        <v>421</v>
      </c>
      <c r="J197">
        <v>10047.75</v>
      </c>
      <c r="K197">
        <f t="shared" si="24"/>
        <v>0.0302381633236652</v>
      </c>
      <c r="L197">
        <f t="shared" si="23"/>
        <v>1.04062415563361</v>
      </c>
      <c r="M197">
        <f t="shared" si="25"/>
        <v>9.14809976247031</v>
      </c>
      <c r="N197">
        <f t="shared" si="26"/>
        <v>2.60889038908435</v>
      </c>
      <c r="O197">
        <f t="shared" si="27"/>
        <v>6196.4</v>
      </c>
      <c r="P197">
        <f t="shared" si="28"/>
        <v>0.616695280037819</v>
      </c>
      <c r="Q197" t="str">
        <f t="shared" si="29"/>
        <v>2025-04</v>
      </c>
    </row>
    <row r="198" spans="1:17">
      <c r="A198" t="s">
        <v>215</v>
      </c>
      <c r="B198" s="10">
        <v>45680</v>
      </c>
      <c r="C198" t="s">
        <v>11</v>
      </c>
      <c r="D198" t="s">
        <v>17</v>
      </c>
      <c r="E198">
        <v>3896.32</v>
      </c>
      <c r="F198">
        <v>3294.61</v>
      </c>
      <c r="G198" s="6">
        <v>148880</v>
      </c>
      <c r="H198" s="6">
        <v>1344</v>
      </c>
      <c r="I198" s="6">
        <v>233</v>
      </c>
      <c r="J198">
        <v>5630.4</v>
      </c>
      <c r="K198">
        <f t="shared" si="24"/>
        <v>0.00902740462117141</v>
      </c>
      <c r="L198">
        <f t="shared" si="23"/>
        <v>2.45134672619048</v>
      </c>
      <c r="M198">
        <f t="shared" si="25"/>
        <v>14.1399570815451</v>
      </c>
      <c r="N198">
        <f t="shared" si="26"/>
        <v>1.70897314097875</v>
      </c>
      <c r="O198">
        <f t="shared" si="27"/>
        <v>2335.79</v>
      </c>
      <c r="P198">
        <f t="shared" si="28"/>
        <v>0.41485329639102</v>
      </c>
      <c r="Q198" t="str">
        <f t="shared" si="29"/>
        <v>2025-01</v>
      </c>
    </row>
    <row r="199" spans="1:17">
      <c r="A199" t="s">
        <v>216</v>
      </c>
      <c r="B199" s="10">
        <v>45638</v>
      </c>
      <c r="C199" t="s">
        <v>22</v>
      </c>
      <c r="D199" t="s">
        <v>20</v>
      </c>
      <c r="E199">
        <v>7486.12</v>
      </c>
      <c r="F199">
        <v>6397.37</v>
      </c>
      <c r="G199" s="6">
        <v>150378</v>
      </c>
      <c r="H199" s="6">
        <v>1516</v>
      </c>
      <c r="I199" s="6">
        <v>269</v>
      </c>
      <c r="J199">
        <v>8169.53</v>
      </c>
      <c r="K199">
        <f t="shared" si="24"/>
        <v>0.0100812618867122</v>
      </c>
      <c r="L199">
        <f t="shared" si="23"/>
        <v>4.21990105540897</v>
      </c>
      <c r="M199">
        <f t="shared" si="25"/>
        <v>23.7820446096654</v>
      </c>
      <c r="N199">
        <f t="shared" si="26"/>
        <v>1.27701383537297</v>
      </c>
      <c r="O199">
        <f t="shared" si="27"/>
        <v>1772.16</v>
      </c>
      <c r="P199">
        <f t="shared" si="28"/>
        <v>0.216923127768672</v>
      </c>
      <c r="Q199" t="str">
        <f t="shared" si="29"/>
        <v>2024-12</v>
      </c>
    </row>
    <row r="200" spans="1:17">
      <c r="A200" t="s">
        <v>217</v>
      </c>
      <c r="B200" s="10">
        <v>45726</v>
      </c>
      <c r="C200" t="s">
        <v>19</v>
      </c>
      <c r="D200" t="s">
        <v>17</v>
      </c>
      <c r="E200">
        <v>9277.52</v>
      </c>
      <c r="F200">
        <v>8741.17</v>
      </c>
      <c r="G200" s="6">
        <v>141253</v>
      </c>
      <c r="H200" s="6">
        <v>2934</v>
      </c>
      <c r="I200" s="6">
        <v>357</v>
      </c>
      <c r="J200">
        <v>14289.54</v>
      </c>
      <c r="K200">
        <f t="shared" si="24"/>
        <v>0.0207712402568441</v>
      </c>
      <c r="L200">
        <f t="shared" si="23"/>
        <v>2.97926721199727</v>
      </c>
      <c r="M200">
        <f t="shared" si="25"/>
        <v>24.4850700280112</v>
      </c>
      <c r="N200">
        <f t="shared" si="26"/>
        <v>1.63473997188019</v>
      </c>
      <c r="O200">
        <f t="shared" si="27"/>
        <v>5548.37</v>
      </c>
      <c r="P200">
        <f t="shared" si="28"/>
        <v>0.388281918102332</v>
      </c>
      <c r="Q200" t="str">
        <f t="shared" si="29"/>
        <v>2025-03</v>
      </c>
    </row>
    <row r="201" spans="1:17">
      <c r="A201" t="s">
        <v>218</v>
      </c>
      <c r="B201" s="10">
        <v>45758</v>
      </c>
      <c r="C201" t="s">
        <v>24</v>
      </c>
      <c r="D201" t="s">
        <v>15</v>
      </c>
      <c r="E201">
        <v>4206.24</v>
      </c>
      <c r="F201">
        <v>3607.64</v>
      </c>
      <c r="G201" s="6">
        <v>171015</v>
      </c>
      <c r="H201" s="6">
        <v>7567</v>
      </c>
      <c r="I201" s="6">
        <v>1110</v>
      </c>
      <c r="J201">
        <v>23560.92</v>
      </c>
      <c r="K201">
        <f t="shared" si="24"/>
        <v>0.0442475806215829</v>
      </c>
      <c r="L201">
        <f t="shared" si="23"/>
        <v>0.476759614113916</v>
      </c>
      <c r="M201">
        <f t="shared" si="25"/>
        <v>3.25012612612613</v>
      </c>
      <c r="N201">
        <f t="shared" si="26"/>
        <v>6.53084010599727</v>
      </c>
      <c r="O201">
        <f t="shared" si="27"/>
        <v>19953.28</v>
      </c>
      <c r="P201">
        <f t="shared" si="28"/>
        <v>0.846880342533314</v>
      </c>
      <c r="Q201" t="str">
        <f t="shared" si="29"/>
        <v>2025-04</v>
      </c>
    </row>
    <row r="202" spans="1:17">
      <c r="A202" t="s">
        <v>219</v>
      </c>
      <c r="B202" s="10">
        <v>45807</v>
      </c>
      <c r="C202" t="s">
        <v>22</v>
      </c>
      <c r="D202" t="s">
        <v>15</v>
      </c>
      <c r="E202">
        <v>4182.55</v>
      </c>
      <c r="F202">
        <v>3695.61</v>
      </c>
      <c r="G202" s="6">
        <v>127713</v>
      </c>
      <c r="H202" s="6">
        <v>1869</v>
      </c>
      <c r="I202" s="6">
        <v>349</v>
      </c>
      <c r="J202">
        <v>8833.3</v>
      </c>
      <c r="K202">
        <f t="shared" si="24"/>
        <v>0.0146343755138475</v>
      </c>
      <c r="L202">
        <f t="shared" si="23"/>
        <v>1.97731942215088</v>
      </c>
      <c r="M202">
        <f t="shared" si="25"/>
        <v>10.5891404011461</v>
      </c>
      <c r="N202">
        <f t="shared" si="26"/>
        <v>2.39021433538712</v>
      </c>
      <c r="O202">
        <f t="shared" si="27"/>
        <v>5137.69</v>
      </c>
      <c r="P202">
        <f t="shared" si="28"/>
        <v>0.581627477839539</v>
      </c>
      <c r="Q202" t="str">
        <f t="shared" si="29"/>
        <v>2025-05</v>
      </c>
    </row>
    <row r="203" spans="1:17">
      <c r="A203" t="s">
        <v>220</v>
      </c>
      <c r="B203" s="10">
        <v>45816</v>
      </c>
      <c r="C203" t="s">
        <v>19</v>
      </c>
      <c r="D203" t="s">
        <v>15</v>
      </c>
      <c r="E203">
        <v>3620.92</v>
      </c>
      <c r="F203">
        <v>3027.78</v>
      </c>
      <c r="G203" s="6">
        <v>95400</v>
      </c>
      <c r="H203" s="6">
        <v>1371</v>
      </c>
      <c r="I203" s="6">
        <v>250</v>
      </c>
      <c r="J203">
        <v>8455.84</v>
      </c>
      <c r="K203">
        <f t="shared" si="24"/>
        <v>0.0143710691823899</v>
      </c>
      <c r="L203">
        <f t="shared" ref="L203:L234" si="30">F203/H203</f>
        <v>2.20844638949672</v>
      </c>
      <c r="M203">
        <f t="shared" si="25"/>
        <v>12.11112</v>
      </c>
      <c r="N203">
        <f t="shared" si="26"/>
        <v>2.79275244568628</v>
      </c>
      <c r="O203">
        <f t="shared" si="27"/>
        <v>5428.06</v>
      </c>
      <c r="P203">
        <f t="shared" si="28"/>
        <v>0.641930310885731</v>
      </c>
      <c r="Q203" t="str">
        <f t="shared" si="29"/>
        <v>2025-06</v>
      </c>
    </row>
    <row r="204" spans="1:17">
      <c r="A204" t="s">
        <v>221</v>
      </c>
      <c r="B204" s="10">
        <v>45647</v>
      </c>
      <c r="C204" t="s">
        <v>11</v>
      </c>
      <c r="D204" t="s">
        <v>12</v>
      </c>
      <c r="E204">
        <v>4444.34</v>
      </c>
      <c r="F204">
        <v>4041.15</v>
      </c>
      <c r="G204" s="6">
        <v>154562</v>
      </c>
      <c r="H204" s="6">
        <v>4028</v>
      </c>
      <c r="I204" s="6">
        <v>250</v>
      </c>
      <c r="J204">
        <v>8775.63</v>
      </c>
      <c r="K204">
        <f t="shared" si="24"/>
        <v>0.0260607393796664</v>
      </c>
      <c r="L204">
        <f t="shared" si="30"/>
        <v>1.00326464746773</v>
      </c>
      <c r="M204">
        <f t="shared" si="25"/>
        <v>16.1646</v>
      </c>
      <c r="N204">
        <f t="shared" si="26"/>
        <v>2.17156749935043</v>
      </c>
      <c r="O204">
        <f t="shared" si="27"/>
        <v>4734.48</v>
      </c>
      <c r="P204">
        <f t="shared" si="28"/>
        <v>0.539503146782624</v>
      </c>
      <c r="Q204" t="str">
        <f t="shared" si="29"/>
        <v>2024-12</v>
      </c>
    </row>
    <row r="205" spans="1:17">
      <c r="A205" t="s">
        <v>222</v>
      </c>
      <c r="B205" s="10">
        <v>45780</v>
      </c>
      <c r="C205" t="s">
        <v>19</v>
      </c>
      <c r="D205" t="s">
        <v>20</v>
      </c>
      <c r="E205">
        <v>7832.76</v>
      </c>
      <c r="F205">
        <v>6358.58</v>
      </c>
      <c r="G205" s="6">
        <v>100148</v>
      </c>
      <c r="H205" s="6">
        <v>1610</v>
      </c>
      <c r="I205" s="6">
        <v>112</v>
      </c>
      <c r="J205">
        <v>4926.02</v>
      </c>
      <c r="K205">
        <f t="shared" si="24"/>
        <v>0.0160762072133243</v>
      </c>
      <c r="L205">
        <f t="shared" si="30"/>
        <v>3.94942857142857</v>
      </c>
      <c r="M205">
        <f t="shared" si="25"/>
        <v>56.7730357142857</v>
      </c>
      <c r="N205">
        <f t="shared" si="26"/>
        <v>0.774704415136713</v>
      </c>
      <c r="O205">
        <f t="shared" si="27"/>
        <v>-1432.56</v>
      </c>
      <c r="P205">
        <f t="shared" si="28"/>
        <v>-0.290814897219256</v>
      </c>
      <c r="Q205" t="str">
        <f t="shared" si="29"/>
        <v>2025-05</v>
      </c>
    </row>
    <row r="206" spans="1:17">
      <c r="A206" t="s">
        <v>223</v>
      </c>
      <c r="B206" s="10">
        <v>45715</v>
      </c>
      <c r="C206" t="s">
        <v>11</v>
      </c>
      <c r="D206" t="s">
        <v>15</v>
      </c>
      <c r="E206">
        <v>7395.3</v>
      </c>
      <c r="F206">
        <v>6097.63</v>
      </c>
      <c r="G206" s="6">
        <v>109858</v>
      </c>
      <c r="H206" s="6">
        <v>3804</v>
      </c>
      <c r="I206" s="6">
        <v>713</v>
      </c>
      <c r="J206">
        <v>32945.85</v>
      </c>
      <c r="K206">
        <f t="shared" si="24"/>
        <v>0.0346265178685212</v>
      </c>
      <c r="L206">
        <f t="shared" si="30"/>
        <v>1.60295215562566</v>
      </c>
      <c r="M206">
        <f t="shared" si="25"/>
        <v>8.55207573632538</v>
      </c>
      <c r="N206">
        <f t="shared" si="26"/>
        <v>5.40305823738075</v>
      </c>
      <c r="O206">
        <f t="shared" si="27"/>
        <v>26848.22</v>
      </c>
      <c r="P206">
        <f t="shared" si="28"/>
        <v>0.814919633277029</v>
      </c>
      <c r="Q206" t="str">
        <f t="shared" si="29"/>
        <v>2025-02</v>
      </c>
    </row>
    <row r="207" spans="1:17">
      <c r="A207" t="s">
        <v>224</v>
      </c>
      <c r="B207" s="10">
        <v>45762</v>
      </c>
      <c r="C207" t="s">
        <v>24</v>
      </c>
      <c r="D207" t="s">
        <v>15</v>
      </c>
      <c r="E207">
        <v>9446.11</v>
      </c>
      <c r="F207">
        <v>7729.97</v>
      </c>
      <c r="G207" s="6">
        <v>158340</v>
      </c>
      <c r="H207" s="6">
        <v>2273</v>
      </c>
      <c r="I207" s="6">
        <v>434</v>
      </c>
      <c r="J207">
        <v>12284.95</v>
      </c>
      <c r="K207">
        <f t="shared" si="24"/>
        <v>0.0143551850448402</v>
      </c>
      <c r="L207">
        <f t="shared" si="30"/>
        <v>3.40077870655521</v>
      </c>
      <c r="M207">
        <f t="shared" si="25"/>
        <v>17.8109907834101</v>
      </c>
      <c r="N207">
        <f t="shared" si="26"/>
        <v>1.58926231279035</v>
      </c>
      <c r="O207">
        <f t="shared" si="27"/>
        <v>4554.98</v>
      </c>
      <c r="P207">
        <f t="shared" si="28"/>
        <v>0.370777251840667</v>
      </c>
      <c r="Q207" t="str">
        <f t="shared" si="29"/>
        <v>2025-04</v>
      </c>
    </row>
    <row r="208" spans="1:17">
      <c r="A208" t="s">
        <v>225</v>
      </c>
      <c r="B208" s="10">
        <v>45769</v>
      </c>
      <c r="C208" t="s">
        <v>19</v>
      </c>
      <c r="D208" t="s">
        <v>20</v>
      </c>
      <c r="E208">
        <v>8643.41</v>
      </c>
      <c r="F208">
        <v>8854.98</v>
      </c>
      <c r="G208" s="6">
        <v>114026</v>
      </c>
      <c r="H208" s="6">
        <v>4773</v>
      </c>
      <c r="I208" s="6">
        <v>185</v>
      </c>
      <c r="J208">
        <v>4724.09</v>
      </c>
      <c r="K208">
        <f t="shared" si="24"/>
        <v>0.0418588742918282</v>
      </c>
      <c r="L208">
        <f t="shared" si="30"/>
        <v>1.85522313010685</v>
      </c>
      <c r="M208">
        <f t="shared" si="25"/>
        <v>47.8647567567568</v>
      </c>
      <c r="N208">
        <f t="shared" si="26"/>
        <v>0.53349527610452</v>
      </c>
      <c r="O208">
        <f t="shared" si="27"/>
        <v>-4130.89</v>
      </c>
      <c r="P208">
        <f t="shared" si="28"/>
        <v>-0.874430842765485</v>
      </c>
      <c r="Q208" t="str">
        <f t="shared" si="29"/>
        <v>2025-04</v>
      </c>
    </row>
    <row r="209" spans="1:17">
      <c r="A209" t="s">
        <v>226</v>
      </c>
      <c r="B209" s="10">
        <v>45796</v>
      </c>
      <c r="C209" t="s">
        <v>24</v>
      </c>
      <c r="D209" t="s">
        <v>15</v>
      </c>
      <c r="E209">
        <v>4465.45</v>
      </c>
      <c r="F209">
        <v>4068.66</v>
      </c>
      <c r="G209" s="6">
        <v>188606</v>
      </c>
      <c r="H209" s="6">
        <v>1714</v>
      </c>
      <c r="I209" s="6">
        <v>194</v>
      </c>
      <c r="J209">
        <v>6699.92</v>
      </c>
      <c r="K209">
        <f t="shared" si="24"/>
        <v>0.00908772785595368</v>
      </c>
      <c r="L209">
        <f t="shared" si="30"/>
        <v>2.37378063010502</v>
      </c>
      <c r="M209">
        <f t="shared" si="25"/>
        <v>20.9724742268041</v>
      </c>
      <c r="N209">
        <f t="shared" si="26"/>
        <v>1.64671415158799</v>
      </c>
      <c r="O209">
        <f t="shared" si="27"/>
        <v>2631.26</v>
      </c>
      <c r="P209">
        <f t="shared" si="28"/>
        <v>0.392730062448507</v>
      </c>
      <c r="Q209" t="str">
        <f t="shared" si="29"/>
        <v>2025-05</v>
      </c>
    </row>
    <row r="210" spans="1:17">
      <c r="A210" t="s">
        <v>227</v>
      </c>
      <c r="B210" s="10">
        <v>45802</v>
      </c>
      <c r="C210" t="s">
        <v>22</v>
      </c>
      <c r="D210" t="s">
        <v>15</v>
      </c>
      <c r="E210">
        <v>7327.78</v>
      </c>
      <c r="F210">
        <v>6673.22</v>
      </c>
      <c r="G210" s="6">
        <v>137418</v>
      </c>
      <c r="H210" s="6">
        <v>4255</v>
      </c>
      <c r="I210" s="6">
        <v>107</v>
      </c>
      <c r="J210">
        <v>3624.74</v>
      </c>
      <c r="K210">
        <f t="shared" si="24"/>
        <v>0.0309639203015617</v>
      </c>
      <c r="L210">
        <f t="shared" si="30"/>
        <v>1.56832432432432</v>
      </c>
      <c r="M210">
        <f t="shared" si="25"/>
        <v>62.3665420560748</v>
      </c>
      <c r="N210">
        <f t="shared" si="26"/>
        <v>0.543177056953015</v>
      </c>
      <c r="O210">
        <f t="shared" si="27"/>
        <v>-3048.48</v>
      </c>
      <c r="P210">
        <f t="shared" si="28"/>
        <v>-0.841020321457539</v>
      </c>
      <c r="Q210" t="str">
        <f t="shared" si="29"/>
        <v>2025-05</v>
      </c>
    </row>
    <row r="211" spans="1:17">
      <c r="A211" t="s">
        <v>228</v>
      </c>
      <c r="B211" s="10">
        <v>45637</v>
      </c>
      <c r="C211" t="s">
        <v>22</v>
      </c>
      <c r="D211" t="s">
        <v>20</v>
      </c>
      <c r="E211">
        <v>8232.3</v>
      </c>
      <c r="F211">
        <v>6676.44</v>
      </c>
      <c r="G211" s="6">
        <v>195298</v>
      </c>
      <c r="H211" s="6">
        <v>3830</v>
      </c>
      <c r="I211" s="6">
        <v>340</v>
      </c>
      <c r="J211">
        <v>9374.86</v>
      </c>
      <c r="K211">
        <f t="shared" si="24"/>
        <v>0.0196110559247919</v>
      </c>
      <c r="L211">
        <f t="shared" si="30"/>
        <v>1.74319582245431</v>
      </c>
      <c r="M211">
        <f t="shared" si="25"/>
        <v>19.6365882352941</v>
      </c>
      <c r="N211">
        <f t="shared" si="26"/>
        <v>1.40417048606743</v>
      </c>
      <c r="O211">
        <f t="shared" si="27"/>
        <v>2698.42</v>
      </c>
      <c r="P211">
        <f t="shared" si="28"/>
        <v>0.287835765014091</v>
      </c>
      <c r="Q211" t="str">
        <f t="shared" si="29"/>
        <v>2024-12</v>
      </c>
    </row>
    <row r="212" spans="1:17">
      <c r="A212" t="s">
        <v>229</v>
      </c>
      <c r="B212" s="10">
        <v>45746</v>
      </c>
      <c r="C212" t="s">
        <v>22</v>
      </c>
      <c r="D212" t="s">
        <v>15</v>
      </c>
      <c r="E212">
        <v>7993.45</v>
      </c>
      <c r="F212">
        <v>8541.5</v>
      </c>
      <c r="G212" s="6">
        <v>191329</v>
      </c>
      <c r="H212" s="6">
        <v>5806</v>
      </c>
      <c r="I212" s="6">
        <v>454</v>
      </c>
      <c r="J212">
        <v>16049.05</v>
      </c>
      <c r="K212">
        <f t="shared" si="24"/>
        <v>0.0303456350056709</v>
      </c>
      <c r="L212">
        <f t="shared" si="30"/>
        <v>1.47115053393042</v>
      </c>
      <c r="M212">
        <f t="shared" si="25"/>
        <v>18.8138766519824</v>
      </c>
      <c r="N212">
        <f t="shared" si="26"/>
        <v>1.87894983316748</v>
      </c>
      <c r="O212">
        <f t="shared" si="27"/>
        <v>7507.55</v>
      </c>
      <c r="P212">
        <f t="shared" si="28"/>
        <v>0.467787812985815</v>
      </c>
      <c r="Q212" t="str">
        <f t="shared" si="29"/>
        <v>2025-03</v>
      </c>
    </row>
    <row r="213" spans="1:17">
      <c r="A213" t="s">
        <v>230</v>
      </c>
      <c r="B213" s="10">
        <v>45793</v>
      </c>
      <c r="C213" t="s">
        <v>24</v>
      </c>
      <c r="D213" t="s">
        <v>12</v>
      </c>
      <c r="E213">
        <v>6724.79</v>
      </c>
      <c r="F213">
        <v>5596.04</v>
      </c>
      <c r="G213" s="6">
        <v>118663</v>
      </c>
      <c r="H213" s="6">
        <v>2481</v>
      </c>
      <c r="I213" s="6">
        <v>397</v>
      </c>
      <c r="J213">
        <v>13268.68</v>
      </c>
      <c r="K213">
        <f t="shared" si="24"/>
        <v>0.020907949402931</v>
      </c>
      <c r="L213">
        <f t="shared" si="30"/>
        <v>2.2555582426441</v>
      </c>
      <c r="M213">
        <f t="shared" si="25"/>
        <v>14.0958186397985</v>
      </c>
      <c r="N213">
        <f t="shared" si="26"/>
        <v>2.37108383785677</v>
      </c>
      <c r="O213">
        <f t="shared" si="27"/>
        <v>7672.64</v>
      </c>
      <c r="P213">
        <f t="shared" si="28"/>
        <v>0.57825194367488</v>
      </c>
      <c r="Q213" t="str">
        <f t="shared" si="29"/>
        <v>2025-05</v>
      </c>
    </row>
    <row r="214" spans="1:17">
      <c r="A214" t="s">
        <v>231</v>
      </c>
      <c r="B214" s="10">
        <v>45770</v>
      </c>
      <c r="C214" t="s">
        <v>24</v>
      </c>
      <c r="D214" t="s">
        <v>20</v>
      </c>
      <c r="E214">
        <v>6728.32</v>
      </c>
      <c r="F214">
        <v>5872.08</v>
      </c>
      <c r="G214" s="6">
        <v>55825</v>
      </c>
      <c r="H214" s="6">
        <v>2436</v>
      </c>
      <c r="I214" s="6">
        <v>144</v>
      </c>
      <c r="J214">
        <v>4043.13</v>
      </c>
      <c r="K214">
        <f t="shared" si="24"/>
        <v>0.0436363636363636</v>
      </c>
      <c r="L214">
        <f t="shared" si="30"/>
        <v>2.41054187192118</v>
      </c>
      <c r="M214">
        <f t="shared" si="25"/>
        <v>40.7783333333333</v>
      </c>
      <c r="N214">
        <f t="shared" si="26"/>
        <v>0.688534556749908</v>
      </c>
      <c r="O214">
        <f t="shared" si="27"/>
        <v>-1828.95</v>
      </c>
      <c r="P214">
        <f t="shared" si="28"/>
        <v>-0.452359929064858</v>
      </c>
      <c r="Q214" t="str">
        <f t="shared" si="29"/>
        <v>2025-04</v>
      </c>
    </row>
    <row r="215" spans="1:17">
      <c r="A215" t="s">
        <v>232</v>
      </c>
      <c r="B215" s="10">
        <v>45658</v>
      </c>
      <c r="C215" t="s">
        <v>22</v>
      </c>
      <c r="D215" t="s">
        <v>17</v>
      </c>
      <c r="E215">
        <v>5640.99</v>
      </c>
      <c r="F215">
        <v>4546.76</v>
      </c>
      <c r="G215" s="6">
        <v>53730</v>
      </c>
      <c r="H215" s="6">
        <v>2251</v>
      </c>
      <c r="I215" s="6">
        <v>253</v>
      </c>
      <c r="J215">
        <v>7504.58</v>
      </c>
      <c r="K215">
        <f t="shared" si="24"/>
        <v>0.0418946584775731</v>
      </c>
      <c r="L215">
        <f t="shared" si="30"/>
        <v>2.01988449577965</v>
      </c>
      <c r="M215">
        <f t="shared" si="25"/>
        <v>17.9713833992095</v>
      </c>
      <c r="N215">
        <f t="shared" si="26"/>
        <v>1.65053356675963</v>
      </c>
      <c r="O215">
        <f t="shared" si="27"/>
        <v>2957.82</v>
      </c>
      <c r="P215">
        <f t="shared" si="28"/>
        <v>0.394135314701156</v>
      </c>
      <c r="Q215" t="str">
        <f t="shared" si="29"/>
        <v>2025-01</v>
      </c>
    </row>
    <row r="216" spans="1:17">
      <c r="A216" t="s">
        <v>233</v>
      </c>
      <c r="B216" s="10">
        <v>45636</v>
      </c>
      <c r="C216" t="s">
        <v>11</v>
      </c>
      <c r="D216" t="s">
        <v>12</v>
      </c>
      <c r="E216">
        <v>4480.14</v>
      </c>
      <c r="F216">
        <v>4024.28</v>
      </c>
      <c r="G216" s="6">
        <v>177951</v>
      </c>
      <c r="H216" s="6">
        <v>3898</v>
      </c>
      <c r="I216" s="6">
        <v>283</v>
      </c>
      <c r="J216">
        <v>6676.78</v>
      </c>
      <c r="K216">
        <f t="shared" si="24"/>
        <v>0.0219049064068199</v>
      </c>
      <c r="L216">
        <f t="shared" si="30"/>
        <v>1.03239610056439</v>
      </c>
      <c r="M216">
        <f t="shared" si="25"/>
        <v>14.2200706713781</v>
      </c>
      <c r="N216">
        <f t="shared" si="26"/>
        <v>1.65912411661216</v>
      </c>
      <c r="O216">
        <f t="shared" si="27"/>
        <v>2652.5</v>
      </c>
      <c r="P216">
        <f t="shared" si="28"/>
        <v>0.397272337863461</v>
      </c>
      <c r="Q216" t="str">
        <f t="shared" si="29"/>
        <v>2024-12</v>
      </c>
    </row>
    <row r="217" spans="1:17">
      <c r="A217" t="s">
        <v>234</v>
      </c>
      <c r="B217" s="10">
        <v>45771</v>
      </c>
      <c r="C217" t="s">
        <v>11</v>
      </c>
      <c r="D217" t="s">
        <v>12</v>
      </c>
      <c r="E217">
        <v>9233.69</v>
      </c>
      <c r="F217">
        <v>9031.27</v>
      </c>
      <c r="G217" s="6">
        <v>52910</v>
      </c>
      <c r="H217" s="6">
        <v>1772</v>
      </c>
      <c r="I217" s="6">
        <v>184</v>
      </c>
      <c r="J217">
        <v>7428.64</v>
      </c>
      <c r="K217">
        <f t="shared" si="24"/>
        <v>0.0334908334908335</v>
      </c>
      <c r="L217">
        <f t="shared" si="30"/>
        <v>5.09665349887133</v>
      </c>
      <c r="M217">
        <f t="shared" si="25"/>
        <v>49.0829891304348</v>
      </c>
      <c r="N217">
        <f t="shared" si="26"/>
        <v>0.822546552146044</v>
      </c>
      <c r="O217">
        <f t="shared" si="27"/>
        <v>-1602.63</v>
      </c>
      <c r="P217">
        <f t="shared" si="28"/>
        <v>-0.215736662430808</v>
      </c>
      <c r="Q217" t="str">
        <f t="shared" si="29"/>
        <v>2025-04</v>
      </c>
    </row>
    <row r="218" spans="1:17">
      <c r="A218" t="s">
        <v>235</v>
      </c>
      <c r="B218" s="10">
        <v>45656</v>
      </c>
      <c r="C218" t="s">
        <v>24</v>
      </c>
      <c r="D218" t="s">
        <v>17</v>
      </c>
      <c r="E218">
        <v>8524.2</v>
      </c>
      <c r="F218">
        <v>8094.01</v>
      </c>
      <c r="G218" s="6">
        <v>57737</v>
      </c>
      <c r="H218" s="6">
        <v>1530</v>
      </c>
      <c r="I218" s="6">
        <v>286</v>
      </c>
      <c r="J218">
        <v>6465.78</v>
      </c>
      <c r="K218">
        <f t="shared" si="24"/>
        <v>0.0264994717425568</v>
      </c>
      <c r="L218">
        <f t="shared" si="30"/>
        <v>5.29020261437909</v>
      </c>
      <c r="M218">
        <f t="shared" si="25"/>
        <v>28.3007342657343</v>
      </c>
      <c r="N218">
        <f t="shared" si="26"/>
        <v>0.79883518799705</v>
      </c>
      <c r="O218">
        <f t="shared" si="27"/>
        <v>-1628.23</v>
      </c>
      <c r="P218">
        <f t="shared" si="28"/>
        <v>-0.251822672593253</v>
      </c>
      <c r="Q218" t="str">
        <f t="shared" si="29"/>
        <v>2024-12</v>
      </c>
    </row>
    <row r="219" spans="1:17">
      <c r="A219" t="s">
        <v>236</v>
      </c>
      <c r="B219" s="10">
        <v>45689</v>
      </c>
      <c r="C219" t="s">
        <v>19</v>
      </c>
      <c r="D219" t="s">
        <v>20</v>
      </c>
      <c r="E219">
        <v>6759.75</v>
      </c>
      <c r="F219">
        <v>6597.87</v>
      </c>
      <c r="G219" s="6">
        <v>167465</v>
      </c>
      <c r="H219" s="6">
        <v>5881</v>
      </c>
      <c r="I219" s="6">
        <v>966</v>
      </c>
      <c r="J219">
        <v>40922.84</v>
      </c>
      <c r="K219">
        <f t="shared" si="24"/>
        <v>0.0351177858059893</v>
      </c>
      <c r="L219">
        <f t="shared" si="30"/>
        <v>1.12189593606529</v>
      </c>
      <c r="M219">
        <f t="shared" si="25"/>
        <v>6.83009316770186</v>
      </c>
      <c r="N219">
        <f t="shared" si="26"/>
        <v>6.20243199699297</v>
      </c>
      <c r="O219">
        <f t="shared" si="27"/>
        <v>34324.97</v>
      </c>
      <c r="P219">
        <f t="shared" si="28"/>
        <v>0.838772919963522</v>
      </c>
      <c r="Q219" t="str">
        <f t="shared" si="29"/>
        <v>2025-02</v>
      </c>
    </row>
    <row r="220" spans="1:17">
      <c r="A220" t="s">
        <v>237</v>
      </c>
      <c r="B220" s="10">
        <v>45727</v>
      </c>
      <c r="C220" t="s">
        <v>24</v>
      </c>
      <c r="D220" t="s">
        <v>12</v>
      </c>
      <c r="E220">
        <v>6021.62</v>
      </c>
      <c r="F220">
        <v>5047.77</v>
      </c>
      <c r="G220" s="6">
        <v>133310</v>
      </c>
      <c r="H220" s="6">
        <v>4783</v>
      </c>
      <c r="I220" s="6">
        <v>857</v>
      </c>
      <c r="J220">
        <v>24435.88</v>
      </c>
      <c r="K220">
        <f t="shared" si="24"/>
        <v>0.0358787787862876</v>
      </c>
      <c r="L220">
        <f t="shared" si="30"/>
        <v>1.0553564708342</v>
      </c>
      <c r="M220">
        <f t="shared" si="25"/>
        <v>5.89004667444574</v>
      </c>
      <c r="N220">
        <f t="shared" si="26"/>
        <v>4.840925794955</v>
      </c>
      <c r="O220">
        <f t="shared" si="27"/>
        <v>19388.11</v>
      </c>
      <c r="P220">
        <f t="shared" si="28"/>
        <v>0.793427942844702</v>
      </c>
      <c r="Q220" t="str">
        <f t="shared" si="29"/>
        <v>2025-03</v>
      </c>
    </row>
    <row r="221" spans="1:17">
      <c r="A221" t="s">
        <v>238</v>
      </c>
      <c r="B221" s="10">
        <v>45707</v>
      </c>
      <c r="C221" t="s">
        <v>24</v>
      </c>
      <c r="D221" t="s">
        <v>12</v>
      </c>
      <c r="E221">
        <v>5541.58</v>
      </c>
      <c r="F221">
        <v>5507.08</v>
      </c>
      <c r="G221" s="6">
        <v>113210</v>
      </c>
      <c r="H221" s="6">
        <v>1277</v>
      </c>
      <c r="I221" s="6">
        <v>208</v>
      </c>
      <c r="J221">
        <v>7721.66</v>
      </c>
      <c r="K221">
        <f t="shared" si="24"/>
        <v>0.0112799222683509</v>
      </c>
      <c r="L221">
        <f t="shared" si="30"/>
        <v>4.31251370399374</v>
      </c>
      <c r="M221">
        <f t="shared" si="25"/>
        <v>26.4763461538462</v>
      </c>
      <c r="N221">
        <f t="shared" si="26"/>
        <v>1.40213325392041</v>
      </c>
      <c r="O221">
        <f t="shared" si="27"/>
        <v>2214.58</v>
      </c>
      <c r="P221">
        <f t="shared" si="28"/>
        <v>0.28680102465014</v>
      </c>
      <c r="Q221" t="str">
        <f t="shared" si="29"/>
        <v>2025-02</v>
      </c>
    </row>
    <row r="222" spans="1:17">
      <c r="A222" t="s">
        <v>239</v>
      </c>
      <c r="B222" s="10">
        <v>45744</v>
      </c>
      <c r="C222" t="s">
        <v>22</v>
      </c>
      <c r="D222" t="s">
        <v>15</v>
      </c>
      <c r="E222">
        <v>5492.68</v>
      </c>
      <c r="F222">
        <v>6019.73</v>
      </c>
      <c r="G222" s="6">
        <v>186208</v>
      </c>
      <c r="H222" s="6">
        <v>1504</v>
      </c>
      <c r="I222" s="6">
        <v>92</v>
      </c>
      <c r="J222">
        <v>3511.94</v>
      </c>
      <c r="K222">
        <f t="shared" si="24"/>
        <v>0.00807698917339749</v>
      </c>
      <c r="L222">
        <f t="shared" si="30"/>
        <v>4.00248005319149</v>
      </c>
      <c r="M222">
        <f t="shared" si="25"/>
        <v>65.431847826087</v>
      </c>
      <c r="N222">
        <f t="shared" si="26"/>
        <v>0.583404903542186</v>
      </c>
      <c r="O222">
        <f t="shared" si="27"/>
        <v>-2507.79</v>
      </c>
      <c r="P222">
        <f t="shared" si="28"/>
        <v>-0.714075411311127</v>
      </c>
      <c r="Q222" t="str">
        <f t="shared" si="29"/>
        <v>2025-03</v>
      </c>
    </row>
    <row r="223" spans="1:17">
      <c r="A223" t="s">
        <v>240</v>
      </c>
      <c r="B223" s="10">
        <v>45790</v>
      </c>
      <c r="C223" t="s">
        <v>24</v>
      </c>
      <c r="D223" t="s">
        <v>15</v>
      </c>
      <c r="E223">
        <v>4660.59</v>
      </c>
      <c r="F223">
        <v>3870.78</v>
      </c>
      <c r="G223" s="6">
        <v>197176</v>
      </c>
      <c r="H223" s="6">
        <v>7746</v>
      </c>
      <c r="I223" s="6">
        <v>512</v>
      </c>
      <c r="J223">
        <v>12587.92</v>
      </c>
      <c r="K223">
        <f t="shared" si="24"/>
        <v>0.0392846999634844</v>
      </c>
      <c r="L223">
        <f t="shared" si="30"/>
        <v>0.499713400464756</v>
      </c>
      <c r="M223">
        <f t="shared" si="25"/>
        <v>7.5601171875</v>
      </c>
      <c r="N223">
        <f t="shared" si="26"/>
        <v>3.2520370571306</v>
      </c>
      <c r="O223">
        <f t="shared" si="27"/>
        <v>8717.14</v>
      </c>
      <c r="P223">
        <f t="shared" si="28"/>
        <v>0.692500428982707</v>
      </c>
      <c r="Q223" t="str">
        <f t="shared" si="29"/>
        <v>2025-05</v>
      </c>
    </row>
    <row r="224" spans="1:17">
      <c r="A224" t="s">
        <v>241</v>
      </c>
      <c r="B224" s="10">
        <v>45675</v>
      </c>
      <c r="C224" t="s">
        <v>24</v>
      </c>
      <c r="D224" t="s">
        <v>12</v>
      </c>
      <c r="E224">
        <v>4721.7</v>
      </c>
      <c r="F224">
        <v>4004.97</v>
      </c>
      <c r="G224" s="6">
        <v>138708</v>
      </c>
      <c r="H224" s="6">
        <v>3409</v>
      </c>
      <c r="I224" s="6">
        <v>272</v>
      </c>
      <c r="J224">
        <v>6962.39</v>
      </c>
      <c r="K224">
        <f t="shared" si="24"/>
        <v>0.0245768088358278</v>
      </c>
      <c r="L224">
        <f t="shared" si="30"/>
        <v>1.17482252860076</v>
      </c>
      <c r="M224">
        <f t="shared" si="25"/>
        <v>14.7241544117647</v>
      </c>
      <c r="N224">
        <f t="shared" si="26"/>
        <v>1.73843749141691</v>
      </c>
      <c r="O224">
        <f t="shared" si="27"/>
        <v>2957.42</v>
      </c>
      <c r="P224">
        <f t="shared" si="28"/>
        <v>0.424770804278416</v>
      </c>
      <c r="Q224" t="str">
        <f t="shared" si="29"/>
        <v>2025-01</v>
      </c>
    </row>
    <row r="225" spans="1:17">
      <c r="A225" t="s">
        <v>242</v>
      </c>
      <c r="B225" s="10">
        <v>45751</v>
      </c>
      <c r="C225" t="s">
        <v>14</v>
      </c>
      <c r="D225" t="s">
        <v>15</v>
      </c>
      <c r="E225">
        <v>4995.67</v>
      </c>
      <c r="F225">
        <v>4256.37</v>
      </c>
      <c r="G225" s="6">
        <v>198805</v>
      </c>
      <c r="H225" s="6">
        <v>7934</v>
      </c>
      <c r="I225" s="6">
        <v>818</v>
      </c>
      <c r="J225">
        <v>38366.62</v>
      </c>
      <c r="K225">
        <f t="shared" si="24"/>
        <v>0.0399084530067151</v>
      </c>
      <c r="L225">
        <f t="shared" si="30"/>
        <v>0.536472145197883</v>
      </c>
      <c r="M225">
        <f t="shared" si="25"/>
        <v>5.20338630806846</v>
      </c>
      <c r="N225">
        <f t="shared" si="26"/>
        <v>9.0139297100581</v>
      </c>
      <c r="O225">
        <f t="shared" si="27"/>
        <v>34110.25</v>
      </c>
      <c r="P225">
        <f t="shared" si="28"/>
        <v>0.889060594860845</v>
      </c>
      <c r="Q225" t="str">
        <f t="shared" si="29"/>
        <v>2025-04</v>
      </c>
    </row>
    <row r="226" spans="1:17">
      <c r="A226" t="s">
        <v>243</v>
      </c>
      <c r="B226" s="10">
        <v>45806</v>
      </c>
      <c r="C226" t="s">
        <v>11</v>
      </c>
      <c r="D226" t="s">
        <v>20</v>
      </c>
      <c r="E226">
        <v>3561.64</v>
      </c>
      <c r="F226">
        <v>3409.75</v>
      </c>
      <c r="G226" s="6">
        <v>89656</v>
      </c>
      <c r="H226" s="6">
        <v>1499</v>
      </c>
      <c r="I226" s="6">
        <v>94</v>
      </c>
      <c r="J226">
        <v>3037.32</v>
      </c>
      <c r="K226">
        <f t="shared" si="24"/>
        <v>0.0167194610511288</v>
      </c>
      <c r="L226">
        <f t="shared" si="30"/>
        <v>2.27468312208139</v>
      </c>
      <c r="M226">
        <f t="shared" si="25"/>
        <v>36.2739361702128</v>
      </c>
      <c r="N226">
        <f t="shared" si="26"/>
        <v>0.890774983503189</v>
      </c>
      <c r="O226">
        <f t="shared" si="27"/>
        <v>-372.43</v>
      </c>
      <c r="P226">
        <f t="shared" si="28"/>
        <v>-0.122617965838305</v>
      </c>
      <c r="Q226" t="str">
        <f t="shared" si="29"/>
        <v>2025-05</v>
      </c>
    </row>
    <row r="227" spans="1:17">
      <c r="A227" t="s">
        <v>244</v>
      </c>
      <c r="B227" s="10">
        <v>45643</v>
      </c>
      <c r="C227" t="s">
        <v>19</v>
      </c>
      <c r="D227" t="s">
        <v>20</v>
      </c>
      <c r="E227">
        <v>9876.65</v>
      </c>
      <c r="F227">
        <v>8233.29</v>
      </c>
      <c r="G227" s="6">
        <v>99291</v>
      </c>
      <c r="H227" s="6">
        <v>1323</v>
      </c>
      <c r="I227" s="6">
        <v>252</v>
      </c>
      <c r="J227">
        <v>8047.79</v>
      </c>
      <c r="K227">
        <f t="shared" si="24"/>
        <v>0.0133244704958153</v>
      </c>
      <c r="L227">
        <f t="shared" si="30"/>
        <v>6.22319727891157</v>
      </c>
      <c r="M227">
        <f t="shared" si="25"/>
        <v>32.6717857142857</v>
      </c>
      <c r="N227">
        <f t="shared" si="26"/>
        <v>0.977469517046041</v>
      </c>
      <c r="O227">
        <f t="shared" si="27"/>
        <v>-185.500000000001</v>
      </c>
      <c r="P227">
        <f t="shared" si="28"/>
        <v>-0.0230498062200928</v>
      </c>
      <c r="Q227" t="str">
        <f t="shared" si="29"/>
        <v>2024-12</v>
      </c>
    </row>
    <row r="228" spans="1:17">
      <c r="A228" t="s">
        <v>245</v>
      </c>
      <c r="B228" s="10">
        <v>45709</v>
      </c>
      <c r="C228" t="s">
        <v>22</v>
      </c>
      <c r="D228" t="s">
        <v>17</v>
      </c>
      <c r="E228">
        <v>9786.29</v>
      </c>
      <c r="F228">
        <v>10370.06</v>
      </c>
      <c r="G228" s="6">
        <v>111502</v>
      </c>
      <c r="H228" s="6">
        <v>5082</v>
      </c>
      <c r="I228" s="6">
        <v>149</v>
      </c>
      <c r="J228">
        <v>6632.31</v>
      </c>
      <c r="K228">
        <f t="shared" si="24"/>
        <v>0.0455776577998601</v>
      </c>
      <c r="L228">
        <f t="shared" si="30"/>
        <v>2.04054702872885</v>
      </c>
      <c r="M228">
        <f t="shared" si="25"/>
        <v>69.5977181208054</v>
      </c>
      <c r="N228">
        <f t="shared" si="26"/>
        <v>0.639563319787928</v>
      </c>
      <c r="O228">
        <f t="shared" si="27"/>
        <v>-3737.75</v>
      </c>
      <c r="P228">
        <f t="shared" si="28"/>
        <v>-0.563566841718798</v>
      </c>
      <c r="Q228" t="str">
        <f t="shared" si="29"/>
        <v>2025-02</v>
      </c>
    </row>
    <row r="229" spans="1:17">
      <c r="A229" t="s">
        <v>246</v>
      </c>
      <c r="B229" s="10">
        <v>45703</v>
      </c>
      <c r="C229" t="s">
        <v>22</v>
      </c>
      <c r="D229" t="s">
        <v>12</v>
      </c>
      <c r="E229">
        <v>4805.32</v>
      </c>
      <c r="F229">
        <v>4090.61</v>
      </c>
      <c r="G229" s="6">
        <v>85109</v>
      </c>
      <c r="H229" s="6">
        <v>1336</v>
      </c>
      <c r="I229" s="6">
        <v>153</v>
      </c>
      <c r="J229">
        <v>6129.07</v>
      </c>
      <c r="K229">
        <f t="shared" si="24"/>
        <v>0.015697517301343</v>
      </c>
      <c r="L229">
        <f t="shared" si="30"/>
        <v>3.06183383233533</v>
      </c>
      <c r="M229">
        <f t="shared" si="25"/>
        <v>26.7360130718954</v>
      </c>
      <c r="N229">
        <f t="shared" si="26"/>
        <v>1.4983266554377</v>
      </c>
      <c r="O229">
        <f t="shared" si="27"/>
        <v>2038.46</v>
      </c>
      <c r="P229">
        <f t="shared" si="28"/>
        <v>0.332588794058479</v>
      </c>
      <c r="Q229" t="str">
        <f t="shared" si="29"/>
        <v>2025-02</v>
      </c>
    </row>
    <row r="230" spans="1:17">
      <c r="A230" t="s">
        <v>247</v>
      </c>
      <c r="B230" s="10">
        <v>45645</v>
      </c>
      <c r="C230" t="s">
        <v>11</v>
      </c>
      <c r="D230" t="s">
        <v>12</v>
      </c>
      <c r="E230">
        <v>9505.63</v>
      </c>
      <c r="F230">
        <v>9192.22</v>
      </c>
      <c r="G230" s="6">
        <v>92367</v>
      </c>
      <c r="H230" s="6">
        <v>1602</v>
      </c>
      <c r="I230" s="6">
        <v>166</v>
      </c>
      <c r="J230">
        <v>6166.63</v>
      </c>
      <c r="K230">
        <f t="shared" si="24"/>
        <v>0.0173438565721524</v>
      </c>
      <c r="L230">
        <f t="shared" si="30"/>
        <v>5.73796504369538</v>
      </c>
      <c r="M230">
        <f t="shared" si="25"/>
        <v>55.3748192771084</v>
      </c>
      <c r="N230">
        <f t="shared" si="26"/>
        <v>0.670853178013581</v>
      </c>
      <c r="O230">
        <f t="shared" si="27"/>
        <v>-3025.59</v>
      </c>
      <c r="P230">
        <f t="shared" si="28"/>
        <v>-0.490639133529983</v>
      </c>
      <c r="Q230" t="str">
        <f t="shared" si="29"/>
        <v>2024-12</v>
      </c>
    </row>
    <row r="231" spans="1:17">
      <c r="A231" t="s">
        <v>248</v>
      </c>
      <c r="B231" s="10">
        <v>45792</v>
      </c>
      <c r="C231" t="s">
        <v>19</v>
      </c>
      <c r="D231" t="s">
        <v>15</v>
      </c>
      <c r="E231">
        <v>4959.85</v>
      </c>
      <c r="F231">
        <v>5112.85</v>
      </c>
      <c r="G231" s="6">
        <v>149385</v>
      </c>
      <c r="H231" s="6">
        <v>1524</v>
      </c>
      <c r="I231" s="6">
        <v>60</v>
      </c>
      <c r="J231">
        <v>1536.68</v>
      </c>
      <c r="K231">
        <f t="shared" si="24"/>
        <v>0.0102018274927202</v>
      </c>
      <c r="L231">
        <f t="shared" si="30"/>
        <v>3.35488845144357</v>
      </c>
      <c r="M231">
        <f t="shared" si="25"/>
        <v>85.2141666666667</v>
      </c>
      <c r="N231">
        <f t="shared" si="26"/>
        <v>0.300552529411189</v>
      </c>
      <c r="O231">
        <f t="shared" si="27"/>
        <v>-3576.17</v>
      </c>
      <c r="P231">
        <f t="shared" si="28"/>
        <v>-2.32720540385767</v>
      </c>
      <c r="Q231" t="str">
        <f t="shared" si="29"/>
        <v>2025-05</v>
      </c>
    </row>
    <row r="232" spans="1:17">
      <c r="A232" t="s">
        <v>249</v>
      </c>
      <c r="B232" s="10">
        <v>45774</v>
      </c>
      <c r="C232" t="s">
        <v>19</v>
      </c>
      <c r="D232" t="s">
        <v>17</v>
      </c>
      <c r="E232">
        <v>5265.75</v>
      </c>
      <c r="F232">
        <v>4884.67</v>
      </c>
      <c r="G232" s="6">
        <v>134522</v>
      </c>
      <c r="H232" s="6">
        <v>2228</v>
      </c>
      <c r="I232" s="6">
        <v>403</v>
      </c>
      <c r="J232">
        <v>14197.01</v>
      </c>
      <c r="K232">
        <f t="shared" si="24"/>
        <v>0.0165623466793536</v>
      </c>
      <c r="L232">
        <f t="shared" si="30"/>
        <v>2.1924012567325</v>
      </c>
      <c r="M232">
        <f t="shared" si="25"/>
        <v>12.1207692307692</v>
      </c>
      <c r="N232">
        <f t="shared" si="26"/>
        <v>2.90644199096357</v>
      </c>
      <c r="O232">
        <f t="shared" si="27"/>
        <v>9312.34</v>
      </c>
      <c r="P232">
        <f t="shared" si="28"/>
        <v>0.655936707799741</v>
      </c>
      <c r="Q232" t="str">
        <f t="shared" si="29"/>
        <v>2025-04</v>
      </c>
    </row>
    <row r="233" spans="1:17">
      <c r="A233" t="s">
        <v>250</v>
      </c>
      <c r="B233" s="10">
        <v>45734</v>
      </c>
      <c r="C233" t="s">
        <v>11</v>
      </c>
      <c r="D233" t="s">
        <v>20</v>
      </c>
      <c r="E233">
        <v>4696.87</v>
      </c>
      <c r="F233">
        <v>3919.31</v>
      </c>
      <c r="G233" s="6">
        <v>178747</v>
      </c>
      <c r="H233" s="6">
        <v>7649</v>
      </c>
      <c r="I233" s="6">
        <v>235</v>
      </c>
      <c r="J233">
        <v>9004.87</v>
      </c>
      <c r="K233">
        <f t="shared" si="24"/>
        <v>0.0427923265845021</v>
      </c>
      <c r="L233">
        <f t="shared" si="30"/>
        <v>0.512395084324748</v>
      </c>
      <c r="M233">
        <f t="shared" si="25"/>
        <v>16.677914893617</v>
      </c>
      <c r="N233">
        <f t="shared" si="26"/>
        <v>2.29756513263814</v>
      </c>
      <c r="O233">
        <f t="shared" si="27"/>
        <v>5085.56</v>
      </c>
      <c r="P233">
        <f t="shared" si="28"/>
        <v>0.564756626136746</v>
      </c>
      <c r="Q233" t="str">
        <f t="shared" si="29"/>
        <v>2025-03</v>
      </c>
    </row>
    <row r="234" spans="1:17">
      <c r="A234" t="s">
        <v>251</v>
      </c>
      <c r="B234" s="10">
        <v>45796</v>
      </c>
      <c r="C234" t="s">
        <v>22</v>
      </c>
      <c r="D234" t="s">
        <v>15</v>
      </c>
      <c r="E234">
        <v>5020.41</v>
      </c>
      <c r="F234">
        <v>4891.74</v>
      </c>
      <c r="G234" s="6">
        <v>73811</v>
      </c>
      <c r="H234" s="6">
        <v>3452</v>
      </c>
      <c r="I234" s="6">
        <v>224</v>
      </c>
      <c r="J234">
        <v>5517.32</v>
      </c>
      <c r="K234">
        <f t="shared" si="24"/>
        <v>0.0467680968961266</v>
      </c>
      <c r="L234">
        <f t="shared" si="30"/>
        <v>1.4170741599073</v>
      </c>
      <c r="M234">
        <f t="shared" si="25"/>
        <v>21.838125</v>
      </c>
      <c r="N234">
        <f t="shared" si="26"/>
        <v>1.12788496526798</v>
      </c>
      <c r="O234">
        <f t="shared" si="27"/>
        <v>625.58</v>
      </c>
      <c r="P234">
        <f t="shared" si="28"/>
        <v>0.11338475926718</v>
      </c>
      <c r="Q234" t="str">
        <f t="shared" si="29"/>
        <v>2025-05</v>
      </c>
    </row>
    <row r="235" spans="1:17">
      <c r="A235" t="s">
        <v>252</v>
      </c>
      <c r="B235" s="10">
        <v>45771</v>
      </c>
      <c r="C235" t="s">
        <v>11</v>
      </c>
      <c r="D235" t="s">
        <v>20</v>
      </c>
      <c r="E235">
        <v>6367.98</v>
      </c>
      <c r="F235">
        <v>6111.84</v>
      </c>
      <c r="G235" s="6">
        <v>61124</v>
      </c>
      <c r="H235" s="6">
        <v>2912</v>
      </c>
      <c r="I235" s="6">
        <v>312</v>
      </c>
      <c r="J235">
        <v>6725.07</v>
      </c>
      <c r="K235">
        <f t="shared" si="24"/>
        <v>0.0476408612001832</v>
      </c>
      <c r="L235">
        <f t="shared" ref="L235:L260" si="31">F235/H235</f>
        <v>2.09884615384615</v>
      </c>
      <c r="M235">
        <f t="shared" si="25"/>
        <v>19.5892307692308</v>
      </c>
      <c r="N235">
        <f t="shared" si="26"/>
        <v>1.10033476007225</v>
      </c>
      <c r="O235">
        <f t="shared" si="27"/>
        <v>613.23</v>
      </c>
      <c r="P235">
        <f t="shared" si="28"/>
        <v>0.0911856679558725</v>
      </c>
      <c r="Q235" t="str">
        <f t="shared" si="29"/>
        <v>2025-04</v>
      </c>
    </row>
    <row r="236" spans="1:17">
      <c r="A236" t="s">
        <v>253</v>
      </c>
      <c r="B236" s="10">
        <v>45749</v>
      </c>
      <c r="C236" t="s">
        <v>24</v>
      </c>
      <c r="D236" t="s">
        <v>12</v>
      </c>
      <c r="E236">
        <v>5356.23</v>
      </c>
      <c r="F236">
        <v>4500.97</v>
      </c>
      <c r="G236" s="6">
        <v>65992</v>
      </c>
      <c r="H236" s="6">
        <v>3184</v>
      </c>
      <c r="I236" s="6">
        <v>311</v>
      </c>
      <c r="J236">
        <v>6811.29</v>
      </c>
      <c r="K236">
        <f t="shared" si="24"/>
        <v>0.048248272517881</v>
      </c>
      <c r="L236">
        <f t="shared" si="31"/>
        <v>1.41362123115578</v>
      </c>
      <c r="M236">
        <f t="shared" si="25"/>
        <v>14.4725723472669</v>
      </c>
      <c r="N236">
        <f t="shared" si="26"/>
        <v>1.51329380111398</v>
      </c>
      <c r="O236">
        <f t="shared" si="27"/>
        <v>2310.32</v>
      </c>
      <c r="P236">
        <f t="shared" si="28"/>
        <v>0.339189786369395</v>
      </c>
      <c r="Q236" t="str">
        <f t="shared" si="29"/>
        <v>2025-04</v>
      </c>
    </row>
    <row r="237" spans="1:17">
      <c r="A237" t="s">
        <v>254</v>
      </c>
      <c r="B237" s="10">
        <v>45702</v>
      </c>
      <c r="C237" t="s">
        <v>19</v>
      </c>
      <c r="D237" t="s">
        <v>17</v>
      </c>
      <c r="E237">
        <v>9929.72</v>
      </c>
      <c r="F237">
        <v>8904.04</v>
      </c>
      <c r="G237" s="6">
        <v>80479</v>
      </c>
      <c r="H237" s="6">
        <v>3812</v>
      </c>
      <c r="I237" s="6">
        <v>427</v>
      </c>
      <c r="J237">
        <v>18914.49</v>
      </c>
      <c r="K237">
        <f t="shared" si="24"/>
        <v>0.0473663937176158</v>
      </c>
      <c r="L237">
        <f t="shared" si="31"/>
        <v>2.33579223504722</v>
      </c>
      <c r="M237">
        <f t="shared" si="25"/>
        <v>20.8525526932084</v>
      </c>
      <c r="N237">
        <f t="shared" si="26"/>
        <v>2.12425932498057</v>
      </c>
      <c r="O237">
        <f t="shared" si="27"/>
        <v>10010.45</v>
      </c>
      <c r="P237">
        <f t="shared" si="28"/>
        <v>0.529247682596782</v>
      </c>
      <c r="Q237" t="str">
        <f t="shared" si="29"/>
        <v>2025-02</v>
      </c>
    </row>
    <row r="238" spans="1:17">
      <c r="A238" t="s">
        <v>255</v>
      </c>
      <c r="B238" s="10">
        <v>45733</v>
      </c>
      <c r="C238" t="s">
        <v>24</v>
      </c>
      <c r="D238" t="s">
        <v>17</v>
      </c>
      <c r="E238">
        <v>4782.48</v>
      </c>
      <c r="F238">
        <v>4803.77</v>
      </c>
      <c r="G238" s="6">
        <v>65167</v>
      </c>
      <c r="H238" s="6">
        <v>3118</v>
      </c>
      <c r="I238" s="6">
        <v>343</v>
      </c>
      <c r="J238">
        <v>14682.74</v>
      </c>
      <c r="K238">
        <f t="shared" si="24"/>
        <v>0.0478463025764574</v>
      </c>
      <c r="L238">
        <f t="shared" si="31"/>
        <v>1.54065747273894</v>
      </c>
      <c r="M238">
        <f t="shared" si="25"/>
        <v>14.0051603498542</v>
      </c>
      <c r="N238">
        <f t="shared" si="26"/>
        <v>3.05650353784632</v>
      </c>
      <c r="O238">
        <f t="shared" si="27"/>
        <v>9878.97</v>
      </c>
      <c r="P238">
        <f t="shared" si="28"/>
        <v>0.672828777190088</v>
      </c>
      <c r="Q238" t="str">
        <f t="shared" si="29"/>
        <v>2025-03</v>
      </c>
    </row>
    <row r="239" spans="1:17">
      <c r="A239" t="s">
        <v>256</v>
      </c>
      <c r="B239" s="10">
        <v>45680</v>
      </c>
      <c r="C239" t="s">
        <v>19</v>
      </c>
      <c r="D239" t="s">
        <v>17</v>
      </c>
      <c r="E239">
        <v>7169.47</v>
      </c>
      <c r="F239">
        <v>6749.86</v>
      </c>
      <c r="G239" s="6">
        <v>109928</v>
      </c>
      <c r="H239" s="6">
        <v>2600</v>
      </c>
      <c r="I239" s="6">
        <v>192</v>
      </c>
      <c r="J239">
        <v>6212.2</v>
      </c>
      <c r="K239">
        <f t="shared" si="24"/>
        <v>0.0236518448438978</v>
      </c>
      <c r="L239">
        <f t="shared" si="31"/>
        <v>2.5961</v>
      </c>
      <c r="M239">
        <f t="shared" si="25"/>
        <v>35.1555208333333</v>
      </c>
      <c r="N239">
        <f t="shared" si="26"/>
        <v>0.920345014563265</v>
      </c>
      <c r="O239">
        <f t="shared" si="27"/>
        <v>-537.66</v>
      </c>
      <c r="P239">
        <f t="shared" si="28"/>
        <v>-0.0865490486462123</v>
      </c>
      <c r="Q239" t="str">
        <f t="shared" si="29"/>
        <v>2025-01</v>
      </c>
    </row>
    <row r="240" spans="1:17">
      <c r="A240" t="s">
        <v>257</v>
      </c>
      <c r="B240" s="10">
        <v>45730</v>
      </c>
      <c r="C240" t="s">
        <v>24</v>
      </c>
      <c r="D240" t="s">
        <v>15</v>
      </c>
      <c r="E240">
        <v>5442.08</v>
      </c>
      <c r="F240">
        <v>5871.24</v>
      </c>
      <c r="G240" s="6">
        <v>155287</v>
      </c>
      <c r="H240" s="6">
        <v>6156</v>
      </c>
      <c r="I240" s="6">
        <v>885</v>
      </c>
      <c r="J240">
        <v>39752.95</v>
      </c>
      <c r="K240">
        <f t="shared" si="24"/>
        <v>0.0396427260491863</v>
      </c>
      <c r="L240">
        <f t="shared" si="31"/>
        <v>0.953742690058479</v>
      </c>
      <c r="M240">
        <f t="shared" si="25"/>
        <v>6.63416949152542</v>
      </c>
      <c r="N240">
        <f t="shared" si="26"/>
        <v>6.77079288191251</v>
      </c>
      <c r="O240">
        <f t="shared" si="27"/>
        <v>33881.71</v>
      </c>
      <c r="P240">
        <f t="shared" si="28"/>
        <v>0.85230680993486</v>
      </c>
      <c r="Q240" t="str">
        <f t="shared" si="29"/>
        <v>2025-03</v>
      </c>
    </row>
    <row r="241" spans="1:17">
      <c r="A241" t="s">
        <v>258</v>
      </c>
      <c r="B241" s="10">
        <v>45763</v>
      </c>
      <c r="C241" t="s">
        <v>24</v>
      </c>
      <c r="D241" t="s">
        <v>17</v>
      </c>
      <c r="E241">
        <v>9755.19</v>
      </c>
      <c r="F241">
        <v>8167.91</v>
      </c>
      <c r="G241" s="6">
        <v>78740</v>
      </c>
      <c r="H241" s="6">
        <v>2383</v>
      </c>
      <c r="I241" s="6">
        <v>340</v>
      </c>
      <c r="J241">
        <v>14254.85</v>
      </c>
      <c r="K241">
        <f t="shared" si="24"/>
        <v>0.0302641605283211</v>
      </c>
      <c r="L241">
        <f t="shared" si="31"/>
        <v>3.42757448594209</v>
      </c>
      <c r="M241">
        <f t="shared" si="25"/>
        <v>24.0232647058824</v>
      </c>
      <c r="N241">
        <f t="shared" si="26"/>
        <v>1.74522613495986</v>
      </c>
      <c r="O241">
        <f t="shared" si="27"/>
        <v>6086.94</v>
      </c>
      <c r="P241">
        <f t="shared" si="28"/>
        <v>0.42700835154351</v>
      </c>
      <c r="Q241" t="str">
        <f t="shared" si="29"/>
        <v>2025-04</v>
      </c>
    </row>
    <row r="242" spans="1:17">
      <c r="A242" t="s">
        <v>259</v>
      </c>
      <c r="B242" s="10">
        <v>45677</v>
      </c>
      <c r="C242" t="s">
        <v>24</v>
      </c>
      <c r="D242" t="s">
        <v>20</v>
      </c>
      <c r="E242">
        <v>9568.38</v>
      </c>
      <c r="F242">
        <v>8174.94</v>
      </c>
      <c r="G242" s="6">
        <v>158786</v>
      </c>
      <c r="H242" s="6">
        <v>2402</v>
      </c>
      <c r="I242" s="6">
        <v>240</v>
      </c>
      <c r="J242">
        <v>5278.77</v>
      </c>
      <c r="K242">
        <f t="shared" si="24"/>
        <v>0.015127278223521</v>
      </c>
      <c r="L242">
        <f t="shared" si="31"/>
        <v>3.40338884263114</v>
      </c>
      <c r="M242">
        <f t="shared" si="25"/>
        <v>34.06225</v>
      </c>
      <c r="N242">
        <f t="shared" si="26"/>
        <v>0.645725840189653</v>
      </c>
      <c r="O242">
        <f t="shared" si="27"/>
        <v>-2896.17</v>
      </c>
      <c r="P242">
        <f t="shared" si="28"/>
        <v>-0.548644854767304</v>
      </c>
      <c r="Q242" t="str">
        <f t="shared" si="29"/>
        <v>2025-01</v>
      </c>
    </row>
    <row r="243" spans="1:17">
      <c r="A243" t="s">
        <v>260</v>
      </c>
      <c r="B243" s="10">
        <v>45799</v>
      </c>
      <c r="C243" t="s">
        <v>19</v>
      </c>
      <c r="D243" t="s">
        <v>15</v>
      </c>
      <c r="E243">
        <v>8187.84</v>
      </c>
      <c r="F243">
        <v>7961.38</v>
      </c>
      <c r="G243" s="6">
        <v>158182</v>
      </c>
      <c r="H243" s="6">
        <v>3562</v>
      </c>
      <c r="I243" s="6">
        <v>554</v>
      </c>
      <c r="J243">
        <v>25071.19</v>
      </c>
      <c r="K243">
        <f t="shared" si="24"/>
        <v>0.0225183649214196</v>
      </c>
      <c r="L243">
        <f t="shared" si="31"/>
        <v>2.23508702975856</v>
      </c>
      <c r="M243">
        <f t="shared" si="25"/>
        <v>14.3707220216607</v>
      </c>
      <c r="N243">
        <f t="shared" si="26"/>
        <v>3.14910103524766</v>
      </c>
      <c r="O243">
        <f t="shared" si="27"/>
        <v>17109.81</v>
      </c>
      <c r="P243">
        <f t="shared" si="28"/>
        <v>0.682449058062262</v>
      </c>
      <c r="Q243" t="str">
        <f t="shared" si="29"/>
        <v>2025-05</v>
      </c>
    </row>
    <row r="244" spans="1:17">
      <c r="A244" t="s">
        <v>261</v>
      </c>
      <c r="B244" s="10">
        <v>45691</v>
      </c>
      <c r="C244" t="s">
        <v>22</v>
      </c>
      <c r="D244" t="s">
        <v>15</v>
      </c>
      <c r="E244">
        <v>3978.41</v>
      </c>
      <c r="F244">
        <v>4131.9</v>
      </c>
      <c r="G244" s="6">
        <v>70430</v>
      </c>
      <c r="H244" s="6">
        <v>2036</v>
      </c>
      <c r="I244" s="6">
        <v>76</v>
      </c>
      <c r="J244">
        <v>1979.71</v>
      </c>
      <c r="K244">
        <f t="shared" si="24"/>
        <v>0.0289081357376118</v>
      </c>
      <c r="L244">
        <f t="shared" si="31"/>
        <v>2.02942043222004</v>
      </c>
      <c r="M244">
        <f t="shared" si="25"/>
        <v>54.3671052631579</v>
      </c>
      <c r="N244">
        <f t="shared" si="26"/>
        <v>0.479128246085336</v>
      </c>
      <c r="O244">
        <f t="shared" si="27"/>
        <v>-2152.19</v>
      </c>
      <c r="P244">
        <f t="shared" si="28"/>
        <v>-1.08712387167817</v>
      </c>
      <c r="Q244" t="str">
        <f t="shared" si="29"/>
        <v>2025-02</v>
      </c>
    </row>
    <row r="245" spans="1:17">
      <c r="A245" t="s">
        <v>262</v>
      </c>
      <c r="B245" s="10">
        <v>45739</v>
      </c>
      <c r="C245" t="s">
        <v>14</v>
      </c>
      <c r="D245" t="s">
        <v>15</v>
      </c>
      <c r="E245">
        <v>4145.59</v>
      </c>
      <c r="F245">
        <v>3520.77</v>
      </c>
      <c r="G245" s="6">
        <v>53472</v>
      </c>
      <c r="H245" s="6">
        <v>1779</v>
      </c>
      <c r="I245" s="6">
        <v>127</v>
      </c>
      <c r="J245">
        <v>5643.53</v>
      </c>
      <c r="K245">
        <f t="shared" si="24"/>
        <v>0.0332697486535009</v>
      </c>
      <c r="L245">
        <f t="shared" si="31"/>
        <v>1.97907251264755</v>
      </c>
      <c r="M245">
        <f t="shared" si="25"/>
        <v>27.7225984251968</v>
      </c>
      <c r="N245">
        <f t="shared" si="26"/>
        <v>1.60292492835374</v>
      </c>
      <c r="O245">
        <f t="shared" si="27"/>
        <v>2122.76</v>
      </c>
      <c r="P245">
        <f t="shared" si="28"/>
        <v>0.376140465276166</v>
      </c>
      <c r="Q245" t="str">
        <f t="shared" si="29"/>
        <v>2025-03</v>
      </c>
    </row>
    <row r="246" spans="1:17">
      <c r="A246" t="s">
        <v>263</v>
      </c>
      <c r="B246" s="10">
        <v>45769</v>
      </c>
      <c r="C246" t="s">
        <v>11</v>
      </c>
      <c r="D246" t="s">
        <v>17</v>
      </c>
      <c r="E246">
        <v>7656.38</v>
      </c>
      <c r="F246">
        <v>7326.54</v>
      </c>
      <c r="G246" s="6">
        <v>65231</v>
      </c>
      <c r="H246" s="6">
        <v>2231</v>
      </c>
      <c r="I246" s="6">
        <v>352</v>
      </c>
      <c r="J246">
        <v>10829.25</v>
      </c>
      <c r="K246">
        <f t="shared" si="24"/>
        <v>0.0342015299474176</v>
      </c>
      <c r="L246">
        <f t="shared" si="31"/>
        <v>3.28397131331242</v>
      </c>
      <c r="M246">
        <f t="shared" si="25"/>
        <v>20.8140340909091</v>
      </c>
      <c r="N246">
        <f t="shared" si="26"/>
        <v>1.47808515342849</v>
      </c>
      <c r="O246">
        <f t="shared" si="27"/>
        <v>3502.71</v>
      </c>
      <c r="P246">
        <f t="shared" si="28"/>
        <v>0.323448992312487</v>
      </c>
      <c r="Q246" t="str">
        <f t="shared" si="29"/>
        <v>2025-04</v>
      </c>
    </row>
    <row r="247" spans="1:17">
      <c r="A247" t="s">
        <v>264</v>
      </c>
      <c r="B247" s="10">
        <v>45701</v>
      </c>
      <c r="C247" t="s">
        <v>11</v>
      </c>
      <c r="D247" t="s">
        <v>20</v>
      </c>
      <c r="E247">
        <v>9140.4</v>
      </c>
      <c r="F247">
        <v>8388.45</v>
      </c>
      <c r="G247" s="6">
        <v>136646</v>
      </c>
      <c r="H247" s="6">
        <v>2540</v>
      </c>
      <c r="I247" s="6">
        <v>494</v>
      </c>
      <c r="J247">
        <v>21982</v>
      </c>
      <c r="K247">
        <f t="shared" si="24"/>
        <v>0.0185881767486791</v>
      </c>
      <c r="L247">
        <f t="shared" si="31"/>
        <v>3.30253937007874</v>
      </c>
      <c r="M247">
        <f t="shared" si="25"/>
        <v>16.9806680161943</v>
      </c>
      <c r="N247">
        <f t="shared" si="26"/>
        <v>2.62050796035024</v>
      </c>
      <c r="O247">
        <f t="shared" si="27"/>
        <v>13593.55</v>
      </c>
      <c r="P247">
        <f t="shared" si="28"/>
        <v>0.6183945955782</v>
      </c>
      <c r="Q247" t="str">
        <f t="shared" si="29"/>
        <v>2025-02</v>
      </c>
    </row>
    <row r="248" spans="1:17">
      <c r="A248" t="s">
        <v>265</v>
      </c>
      <c r="B248" s="10">
        <v>45652</v>
      </c>
      <c r="C248" t="s">
        <v>14</v>
      </c>
      <c r="D248" t="s">
        <v>12</v>
      </c>
      <c r="E248">
        <v>6073.94</v>
      </c>
      <c r="F248">
        <v>5546.01</v>
      </c>
      <c r="G248" s="6">
        <v>106358</v>
      </c>
      <c r="H248" s="6">
        <v>1150</v>
      </c>
      <c r="I248" s="6">
        <v>118</v>
      </c>
      <c r="J248">
        <v>3997.89</v>
      </c>
      <c r="K248">
        <f t="shared" si="24"/>
        <v>0.0108125387841065</v>
      </c>
      <c r="L248">
        <f t="shared" si="31"/>
        <v>4.82261739130435</v>
      </c>
      <c r="M248">
        <f t="shared" si="25"/>
        <v>47.0000847457627</v>
      </c>
      <c r="N248">
        <f t="shared" si="26"/>
        <v>0.720858779555031</v>
      </c>
      <c r="O248">
        <f t="shared" si="27"/>
        <v>-1548.12</v>
      </c>
      <c r="P248">
        <f t="shared" si="28"/>
        <v>-0.387234266075355</v>
      </c>
      <c r="Q248" t="str">
        <f t="shared" si="29"/>
        <v>2024-12</v>
      </c>
    </row>
    <row r="249" spans="1:17">
      <c r="A249" t="s">
        <v>266</v>
      </c>
      <c r="B249" s="10">
        <v>45733</v>
      </c>
      <c r="C249" t="s">
        <v>11</v>
      </c>
      <c r="D249" t="s">
        <v>15</v>
      </c>
      <c r="E249">
        <v>5109.65</v>
      </c>
      <c r="F249">
        <v>5233.73</v>
      </c>
      <c r="G249" s="6">
        <v>179651</v>
      </c>
      <c r="H249" s="6">
        <v>4479</v>
      </c>
      <c r="I249" s="6">
        <v>887</v>
      </c>
      <c r="J249">
        <v>31117.39</v>
      </c>
      <c r="K249">
        <f t="shared" si="24"/>
        <v>0.0249316730772442</v>
      </c>
      <c r="L249">
        <f t="shared" si="31"/>
        <v>1.16850413038625</v>
      </c>
      <c r="M249">
        <f t="shared" si="25"/>
        <v>5.90048478015783</v>
      </c>
      <c r="N249">
        <f t="shared" si="26"/>
        <v>5.94554743939791</v>
      </c>
      <c r="O249">
        <f t="shared" si="27"/>
        <v>25883.66</v>
      </c>
      <c r="P249">
        <f t="shared" si="28"/>
        <v>0.831806909255564</v>
      </c>
      <c r="Q249" t="str">
        <f t="shared" si="29"/>
        <v>2025-03</v>
      </c>
    </row>
    <row r="250" spans="1:17">
      <c r="A250" t="s">
        <v>267</v>
      </c>
      <c r="B250" s="10">
        <v>45773</v>
      </c>
      <c r="C250" t="s">
        <v>14</v>
      </c>
      <c r="D250" t="s">
        <v>20</v>
      </c>
      <c r="E250">
        <v>4625.49</v>
      </c>
      <c r="F250">
        <v>4948.68</v>
      </c>
      <c r="G250" s="6">
        <v>87263</v>
      </c>
      <c r="H250" s="6">
        <v>3752</v>
      </c>
      <c r="I250" s="6">
        <v>526</v>
      </c>
      <c r="J250">
        <v>16577.8</v>
      </c>
      <c r="K250">
        <f t="shared" si="24"/>
        <v>0.0429964589803239</v>
      </c>
      <c r="L250">
        <f t="shared" si="31"/>
        <v>1.31894456289979</v>
      </c>
      <c r="M250">
        <f t="shared" si="25"/>
        <v>9.40813688212928</v>
      </c>
      <c r="N250">
        <f t="shared" si="26"/>
        <v>3.34994382340341</v>
      </c>
      <c r="O250">
        <f t="shared" si="27"/>
        <v>11629.12</v>
      </c>
      <c r="P250">
        <f t="shared" si="28"/>
        <v>0.701487531518054</v>
      </c>
      <c r="Q250" t="str">
        <f t="shared" si="29"/>
        <v>2025-04</v>
      </c>
    </row>
    <row r="251" spans="1:17">
      <c r="A251" t="s">
        <v>268</v>
      </c>
      <c r="B251" s="10">
        <v>45640</v>
      </c>
      <c r="C251" t="s">
        <v>11</v>
      </c>
      <c r="D251" t="s">
        <v>15</v>
      </c>
      <c r="E251">
        <v>6804.87</v>
      </c>
      <c r="F251">
        <v>7294.42</v>
      </c>
      <c r="G251" s="6">
        <v>142706</v>
      </c>
      <c r="H251" s="6">
        <v>4101</v>
      </c>
      <c r="I251" s="6">
        <v>124</v>
      </c>
      <c r="J251">
        <v>4802.17</v>
      </c>
      <c r="K251">
        <f t="shared" si="24"/>
        <v>0.0287374041736157</v>
      </c>
      <c r="L251">
        <f t="shared" si="31"/>
        <v>1.7786930017069</v>
      </c>
      <c r="M251">
        <f t="shared" si="25"/>
        <v>58.8259677419355</v>
      </c>
      <c r="N251">
        <f t="shared" si="26"/>
        <v>0.658334727092764</v>
      </c>
      <c r="O251">
        <f t="shared" si="27"/>
        <v>-2492.25</v>
      </c>
      <c r="P251">
        <f t="shared" si="28"/>
        <v>-0.518984125926404</v>
      </c>
      <c r="Q251" t="str">
        <f t="shared" si="29"/>
        <v>2024-12</v>
      </c>
    </row>
    <row r="252" spans="1:17">
      <c r="A252" t="s">
        <v>269</v>
      </c>
      <c r="B252" s="10">
        <v>45712</v>
      </c>
      <c r="C252" t="s">
        <v>11</v>
      </c>
      <c r="D252" t="s">
        <v>12</v>
      </c>
      <c r="E252">
        <v>3818.29</v>
      </c>
      <c r="F252">
        <v>4131.2</v>
      </c>
      <c r="G252" s="6">
        <v>197165</v>
      </c>
      <c r="H252" s="6">
        <v>8105</v>
      </c>
      <c r="I252" s="6">
        <v>869</v>
      </c>
      <c r="J252">
        <v>33744.35</v>
      </c>
      <c r="K252">
        <f t="shared" si="24"/>
        <v>0.0411077016711891</v>
      </c>
      <c r="L252">
        <f t="shared" si="31"/>
        <v>0.509710055521283</v>
      </c>
      <c r="M252">
        <f t="shared" si="25"/>
        <v>4.75397008055236</v>
      </c>
      <c r="N252">
        <f t="shared" si="26"/>
        <v>8.16817147560031</v>
      </c>
      <c r="O252">
        <f t="shared" si="27"/>
        <v>29613.15</v>
      </c>
      <c r="P252">
        <f t="shared" si="28"/>
        <v>0.877573578984334</v>
      </c>
      <c r="Q252" t="str">
        <f t="shared" si="29"/>
        <v>2025-02</v>
      </c>
    </row>
    <row r="253" spans="1:17">
      <c r="A253" t="s">
        <v>270</v>
      </c>
      <c r="B253" s="10">
        <v>45692</v>
      </c>
      <c r="C253" t="s">
        <v>19</v>
      </c>
      <c r="D253" t="s">
        <v>17</v>
      </c>
      <c r="E253">
        <v>5344.34</v>
      </c>
      <c r="F253">
        <v>4498.77</v>
      </c>
      <c r="G253" s="6">
        <v>141042</v>
      </c>
      <c r="H253" s="6">
        <v>2816</v>
      </c>
      <c r="I253" s="6">
        <v>230</v>
      </c>
      <c r="J253">
        <v>10078.77</v>
      </c>
      <c r="K253">
        <f t="shared" si="24"/>
        <v>0.0199656839806582</v>
      </c>
      <c r="L253">
        <f t="shared" si="31"/>
        <v>1.59757457386364</v>
      </c>
      <c r="M253">
        <f t="shared" si="25"/>
        <v>19.5598695652174</v>
      </c>
      <c r="N253">
        <f t="shared" si="26"/>
        <v>2.24033902600044</v>
      </c>
      <c r="O253">
        <f t="shared" si="27"/>
        <v>5580</v>
      </c>
      <c r="P253">
        <f t="shared" si="28"/>
        <v>0.553638985709566</v>
      </c>
      <c r="Q253" t="str">
        <f t="shared" si="29"/>
        <v>2025-02</v>
      </c>
    </row>
    <row r="254" spans="1:17">
      <c r="A254" t="s">
        <v>271</v>
      </c>
      <c r="B254" s="10">
        <v>45651</v>
      </c>
      <c r="C254" t="s">
        <v>11</v>
      </c>
      <c r="D254" t="s">
        <v>15</v>
      </c>
      <c r="E254">
        <v>7340.51</v>
      </c>
      <c r="F254">
        <v>7047.17</v>
      </c>
      <c r="G254" s="6">
        <v>103661</v>
      </c>
      <c r="H254" s="6">
        <v>3336</v>
      </c>
      <c r="I254" s="6">
        <v>394</v>
      </c>
      <c r="J254">
        <v>18445.81</v>
      </c>
      <c r="K254">
        <f t="shared" si="24"/>
        <v>0.0321818234437252</v>
      </c>
      <c r="L254">
        <f t="shared" si="31"/>
        <v>2.11246103117506</v>
      </c>
      <c r="M254">
        <f t="shared" si="25"/>
        <v>17.8862182741117</v>
      </c>
      <c r="N254">
        <f t="shared" si="26"/>
        <v>2.61747765415053</v>
      </c>
      <c r="O254">
        <f t="shared" si="27"/>
        <v>11398.64</v>
      </c>
      <c r="P254">
        <f t="shared" si="28"/>
        <v>0.617952803373774</v>
      </c>
      <c r="Q254" t="str">
        <f t="shared" si="29"/>
        <v>2024-12</v>
      </c>
    </row>
    <row r="255" spans="1:17">
      <c r="A255" t="s">
        <v>272</v>
      </c>
      <c r="B255" s="10">
        <v>45710</v>
      </c>
      <c r="C255" t="s">
        <v>19</v>
      </c>
      <c r="D255" t="s">
        <v>17</v>
      </c>
      <c r="E255">
        <v>8520.18</v>
      </c>
      <c r="F255">
        <v>7203.83</v>
      </c>
      <c r="G255" s="6">
        <v>71137</v>
      </c>
      <c r="H255" s="6">
        <v>2638</v>
      </c>
      <c r="I255" s="6">
        <v>60</v>
      </c>
      <c r="J255">
        <v>1761.1</v>
      </c>
      <c r="K255">
        <f t="shared" si="24"/>
        <v>0.0370833743340315</v>
      </c>
      <c r="L255">
        <f t="shared" si="31"/>
        <v>2.73079226686884</v>
      </c>
      <c r="M255">
        <f t="shared" si="25"/>
        <v>120.063833333333</v>
      </c>
      <c r="N255">
        <f t="shared" si="26"/>
        <v>0.244467179264364</v>
      </c>
      <c r="O255">
        <f t="shared" si="27"/>
        <v>-5442.73</v>
      </c>
      <c r="P255">
        <f t="shared" si="28"/>
        <v>-3.09052864686843</v>
      </c>
      <c r="Q255" t="str">
        <f t="shared" si="29"/>
        <v>2025-02</v>
      </c>
    </row>
    <row r="256" spans="1:17">
      <c r="A256" t="s">
        <v>273</v>
      </c>
      <c r="B256" s="10">
        <v>45734</v>
      </c>
      <c r="C256" t="s">
        <v>22</v>
      </c>
      <c r="D256" t="s">
        <v>20</v>
      </c>
      <c r="E256">
        <v>4739.42</v>
      </c>
      <c r="F256">
        <v>4849.3</v>
      </c>
      <c r="G256" s="6">
        <v>109146</v>
      </c>
      <c r="H256" s="6">
        <v>3124</v>
      </c>
      <c r="I256" s="6">
        <v>400</v>
      </c>
      <c r="J256">
        <v>8402.39</v>
      </c>
      <c r="K256">
        <f t="shared" si="24"/>
        <v>0.0286222124493797</v>
      </c>
      <c r="L256">
        <f t="shared" si="31"/>
        <v>1.55227272727273</v>
      </c>
      <c r="M256">
        <f t="shared" si="25"/>
        <v>12.12325</v>
      </c>
      <c r="N256">
        <f t="shared" si="26"/>
        <v>1.73270162703895</v>
      </c>
      <c r="O256">
        <f t="shared" si="27"/>
        <v>3553.09</v>
      </c>
      <c r="P256">
        <f t="shared" si="28"/>
        <v>0.42286658914904</v>
      </c>
      <c r="Q256" t="str">
        <f t="shared" si="29"/>
        <v>2025-03</v>
      </c>
    </row>
    <row r="257" spans="1:17">
      <c r="A257" t="s">
        <v>274</v>
      </c>
      <c r="B257" s="10">
        <v>45637</v>
      </c>
      <c r="C257" t="s">
        <v>24</v>
      </c>
      <c r="D257" t="s">
        <v>15</v>
      </c>
      <c r="E257">
        <v>6989.23</v>
      </c>
      <c r="F257">
        <v>7190.08</v>
      </c>
      <c r="G257" s="6">
        <v>119284</v>
      </c>
      <c r="H257" s="6">
        <v>1389</v>
      </c>
      <c r="I257" s="6">
        <v>211</v>
      </c>
      <c r="J257">
        <v>9769.93</v>
      </c>
      <c r="K257">
        <f t="shared" si="24"/>
        <v>0.0116444787230475</v>
      </c>
      <c r="L257">
        <f t="shared" si="31"/>
        <v>5.17644348452124</v>
      </c>
      <c r="M257">
        <f t="shared" si="25"/>
        <v>34.0762085308057</v>
      </c>
      <c r="N257">
        <f t="shared" si="26"/>
        <v>1.35880685611287</v>
      </c>
      <c r="O257">
        <f t="shared" si="27"/>
        <v>2579.85</v>
      </c>
      <c r="P257">
        <f t="shared" si="28"/>
        <v>0.264060233799014</v>
      </c>
      <c r="Q257" t="str">
        <f t="shared" si="29"/>
        <v>2024-12</v>
      </c>
    </row>
    <row r="258" spans="1:17">
      <c r="A258" t="s">
        <v>275</v>
      </c>
      <c r="B258" s="10">
        <v>45695</v>
      </c>
      <c r="C258" t="s">
        <v>24</v>
      </c>
      <c r="D258" t="s">
        <v>15</v>
      </c>
      <c r="E258">
        <v>5394.57</v>
      </c>
      <c r="F258">
        <v>5644.76</v>
      </c>
      <c r="G258" s="6">
        <v>192983</v>
      </c>
      <c r="H258" s="6">
        <v>4396</v>
      </c>
      <c r="I258" s="6">
        <v>677</v>
      </c>
      <c r="J258">
        <v>15786.93</v>
      </c>
      <c r="K258">
        <f t="shared" si="24"/>
        <v>0.0227792085313214</v>
      </c>
      <c r="L258">
        <f t="shared" si="31"/>
        <v>1.28406733393995</v>
      </c>
      <c r="M258">
        <f t="shared" si="25"/>
        <v>8.33790251107829</v>
      </c>
      <c r="N258">
        <f t="shared" si="26"/>
        <v>2.79674069402419</v>
      </c>
      <c r="O258">
        <f t="shared" si="27"/>
        <v>10142.17</v>
      </c>
      <c r="P258">
        <f t="shared" si="28"/>
        <v>0.642440930567248</v>
      </c>
      <c r="Q258" t="str">
        <f t="shared" si="29"/>
        <v>2025-02</v>
      </c>
    </row>
    <row r="259" spans="1:17">
      <c r="A259" t="s">
        <v>276</v>
      </c>
      <c r="B259" s="10">
        <v>45769</v>
      </c>
      <c r="C259" t="s">
        <v>19</v>
      </c>
      <c r="D259" t="s">
        <v>17</v>
      </c>
      <c r="E259">
        <v>8925.17</v>
      </c>
      <c r="F259">
        <v>7481.49</v>
      </c>
      <c r="G259" s="6">
        <v>121420</v>
      </c>
      <c r="H259" s="6">
        <v>2619</v>
      </c>
      <c r="I259" s="6">
        <v>104</v>
      </c>
      <c r="J259">
        <v>3319.54</v>
      </c>
      <c r="K259">
        <f t="shared" ref="K259:K322" si="32">H259/G259</f>
        <v>0.0215697578652611</v>
      </c>
      <c r="L259">
        <f t="shared" si="31"/>
        <v>2.85662084765178</v>
      </c>
      <c r="M259">
        <f t="shared" ref="M259:M322" si="33">F259/I259</f>
        <v>71.9374038461538</v>
      </c>
      <c r="N259">
        <f t="shared" ref="N259:N322" si="34">J259/F259</f>
        <v>0.443700385885699</v>
      </c>
      <c r="O259">
        <f t="shared" ref="O259:O322" si="35">J259-F259</f>
        <v>-4161.95</v>
      </c>
      <c r="P259">
        <f t="shared" ref="P259:P322" si="36">O259/J259</f>
        <v>-1.25377311314218</v>
      </c>
      <c r="Q259" t="str">
        <f t="shared" ref="Q259:Q322" si="37">TEXT(B259,"yyyy-mm")</f>
        <v>2025-04</v>
      </c>
    </row>
    <row r="260" spans="1:17">
      <c r="A260" t="s">
        <v>277</v>
      </c>
      <c r="B260" s="10">
        <v>45774</v>
      </c>
      <c r="C260" t="s">
        <v>19</v>
      </c>
      <c r="D260" t="s">
        <v>17</v>
      </c>
      <c r="E260">
        <v>8581.07</v>
      </c>
      <c r="F260">
        <v>7250.79</v>
      </c>
      <c r="G260" s="6">
        <v>157129</v>
      </c>
      <c r="H260" s="6">
        <v>6144</v>
      </c>
      <c r="I260" s="6">
        <v>426</v>
      </c>
      <c r="J260">
        <v>11449.83</v>
      </c>
      <c r="K260">
        <f t="shared" si="32"/>
        <v>0.0391016298709977</v>
      </c>
      <c r="L260">
        <f t="shared" si="31"/>
        <v>1.1801416015625</v>
      </c>
      <c r="M260">
        <f t="shared" si="33"/>
        <v>17.0206338028169</v>
      </c>
      <c r="N260">
        <f t="shared" si="34"/>
        <v>1.57911482748776</v>
      </c>
      <c r="O260">
        <f t="shared" si="35"/>
        <v>4199.04</v>
      </c>
      <c r="P260">
        <f t="shared" si="36"/>
        <v>0.366733829235893</v>
      </c>
      <c r="Q260" t="str">
        <f t="shared" si="37"/>
        <v>2025-04</v>
      </c>
    </row>
    <row r="261" spans="1:17">
      <c r="A261" t="s">
        <v>278</v>
      </c>
      <c r="B261" s="10">
        <v>45721</v>
      </c>
      <c r="C261" t="s">
        <v>14</v>
      </c>
      <c r="D261" t="s">
        <v>20</v>
      </c>
      <c r="E261">
        <v>8055.77</v>
      </c>
      <c r="F261">
        <v>8184.75</v>
      </c>
      <c r="G261" s="6">
        <v>194986</v>
      </c>
      <c r="H261" s="6">
        <v>2202</v>
      </c>
      <c r="I261" s="6">
        <v>364</v>
      </c>
      <c r="J261">
        <v>14281.33</v>
      </c>
      <c r="K261">
        <f t="shared" si="32"/>
        <v>0.0112931184803011</v>
      </c>
      <c r="L261">
        <f t="shared" ref="L261:L324" si="38">F261/H261</f>
        <v>3.71696185286104</v>
      </c>
      <c r="M261">
        <f t="shared" si="33"/>
        <v>22.4855769230769</v>
      </c>
      <c r="N261">
        <f t="shared" si="34"/>
        <v>1.74487064357494</v>
      </c>
      <c r="O261">
        <f t="shared" si="35"/>
        <v>6096.58</v>
      </c>
      <c r="P261">
        <f t="shared" si="36"/>
        <v>0.426891613036041</v>
      </c>
      <c r="Q261" t="str">
        <f t="shared" si="37"/>
        <v>2025-03</v>
      </c>
    </row>
    <row r="262" spans="1:17">
      <c r="A262" t="s">
        <v>279</v>
      </c>
      <c r="B262" s="10">
        <v>45803</v>
      </c>
      <c r="C262" t="s">
        <v>19</v>
      </c>
      <c r="D262" t="s">
        <v>15</v>
      </c>
      <c r="E262">
        <v>7857.64</v>
      </c>
      <c r="F262">
        <v>7565.47</v>
      </c>
      <c r="G262" s="6">
        <v>75023</v>
      </c>
      <c r="H262" s="6">
        <v>2918</v>
      </c>
      <c r="I262" s="6">
        <v>193</v>
      </c>
      <c r="J262">
        <v>5317.92</v>
      </c>
      <c r="K262">
        <f t="shared" si="32"/>
        <v>0.038894738946723</v>
      </c>
      <c r="L262">
        <f t="shared" si="38"/>
        <v>2.59269019876628</v>
      </c>
      <c r="M262">
        <f t="shared" si="33"/>
        <v>39.1993264248705</v>
      </c>
      <c r="N262">
        <f t="shared" si="34"/>
        <v>0.702919977212255</v>
      </c>
      <c r="O262">
        <f t="shared" si="35"/>
        <v>-2247.55</v>
      </c>
      <c r="P262">
        <f t="shared" si="36"/>
        <v>-0.422637046063122</v>
      </c>
      <c r="Q262" t="str">
        <f t="shared" si="37"/>
        <v>2025-05</v>
      </c>
    </row>
    <row r="263" spans="1:17">
      <c r="A263" t="s">
        <v>280</v>
      </c>
      <c r="B263" s="10">
        <v>45765</v>
      </c>
      <c r="C263" t="s">
        <v>11</v>
      </c>
      <c r="D263" t="s">
        <v>20</v>
      </c>
      <c r="E263">
        <v>5419.87</v>
      </c>
      <c r="F263">
        <v>4631.17</v>
      </c>
      <c r="G263" s="6">
        <v>190925</v>
      </c>
      <c r="H263" s="6">
        <v>4618</v>
      </c>
      <c r="I263" s="6">
        <v>144</v>
      </c>
      <c r="J263">
        <v>6804.51</v>
      </c>
      <c r="K263">
        <f t="shared" si="32"/>
        <v>0.0241875081838418</v>
      </c>
      <c r="L263">
        <f t="shared" si="38"/>
        <v>1.00285188393244</v>
      </c>
      <c r="M263">
        <f t="shared" si="33"/>
        <v>32.1609027777778</v>
      </c>
      <c r="N263">
        <f t="shared" si="34"/>
        <v>1.46928529939519</v>
      </c>
      <c r="O263">
        <f t="shared" si="35"/>
        <v>2173.34</v>
      </c>
      <c r="P263">
        <f t="shared" si="36"/>
        <v>0.31939698817402</v>
      </c>
      <c r="Q263" t="str">
        <f t="shared" si="37"/>
        <v>2025-04</v>
      </c>
    </row>
    <row r="264" spans="1:17">
      <c r="A264" t="s">
        <v>281</v>
      </c>
      <c r="B264" s="10">
        <v>45702</v>
      </c>
      <c r="C264" t="s">
        <v>24</v>
      </c>
      <c r="D264" t="s">
        <v>17</v>
      </c>
      <c r="E264">
        <v>7083.74</v>
      </c>
      <c r="F264">
        <v>6518.85</v>
      </c>
      <c r="G264" s="6">
        <v>166397</v>
      </c>
      <c r="H264" s="6">
        <v>1945</v>
      </c>
      <c r="I264" s="6">
        <v>236</v>
      </c>
      <c r="J264">
        <v>7991</v>
      </c>
      <c r="K264">
        <f t="shared" si="32"/>
        <v>0.011688912660685</v>
      </c>
      <c r="L264">
        <f t="shared" si="38"/>
        <v>3.35159383033419</v>
      </c>
      <c r="M264">
        <f t="shared" si="33"/>
        <v>27.6222457627119</v>
      </c>
      <c r="N264">
        <f t="shared" si="34"/>
        <v>1.22582970922785</v>
      </c>
      <c r="O264">
        <f t="shared" si="35"/>
        <v>1472.15</v>
      </c>
      <c r="P264">
        <f t="shared" si="36"/>
        <v>0.184226004254787</v>
      </c>
      <c r="Q264" t="str">
        <f t="shared" si="37"/>
        <v>2025-02</v>
      </c>
    </row>
    <row r="265" spans="1:17">
      <c r="A265" t="s">
        <v>282</v>
      </c>
      <c r="B265" s="10">
        <v>45724</v>
      </c>
      <c r="C265" t="s">
        <v>14</v>
      </c>
      <c r="D265" t="s">
        <v>12</v>
      </c>
      <c r="E265">
        <v>9630.98</v>
      </c>
      <c r="F265">
        <v>8147.86</v>
      </c>
      <c r="G265" s="6">
        <v>77672</v>
      </c>
      <c r="H265" s="6">
        <v>2185</v>
      </c>
      <c r="I265" s="6">
        <v>376</v>
      </c>
      <c r="J265">
        <v>14132.67</v>
      </c>
      <c r="K265">
        <f t="shared" si="32"/>
        <v>0.0281311154598826</v>
      </c>
      <c r="L265">
        <f t="shared" si="38"/>
        <v>3.72899771167048</v>
      </c>
      <c r="M265">
        <f t="shared" si="33"/>
        <v>21.6698404255319</v>
      </c>
      <c r="N265">
        <f t="shared" si="34"/>
        <v>1.73452538457951</v>
      </c>
      <c r="O265">
        <f t="shared" si="35"/>
        <v>5984.81</v>
      </c>
      <c r="P265">
        <f t="shared" si="36"/>
        <v>0.423473413021036</v>
      </c>
      <c r="Q265" t="str">
        <f t="shared" si="37"/>
        <v>2025-03</v>
      </c>
    </row>
    <row r="266" spans="1:17">
      <c r="A266" t="s">
        <v>283</v>
      </c>
      <c r="B266" s="10">
        <v>45797</v>
      </c>
      <c r="C266" t="s">
        <v>14</v>
      </c>
      <c r="D266" t="s">
        <v>20</v>
      </c>
      <c r="E266">
        <v>6541.22</v>
      </c>
      <c r="F266">
        <v>6432.87</v>
      </c>
      <c r="G266" s="6">
        <v>127332</v>
      </c>
      <c r="H266" s="6">
        <v>4365</v>
      </c>
      <c r="I266" s="6">
        <v>646</v>
      </c>
      <c r="J266">
        <v>13270.98</v>
      </c>
      <c r="K266">
        <f t="shared" si="32"/>
        <v>0.0342804636697766</v>
      </c>
      <c r="L266">
        <f t="shared" si="38"/>
        <v>1.47373883161512</v>
      </c>
      <c r="M266">
        <f t="shared" si="33"/>
        <v>9.95800309597523</v>
      </c>
      <c r="N266">
        <f t="shared" si="34"/>
        <v>2.06299521053589</v>
      </c>
      <c r="O266">
        <f t="shared" si="35"/>
        <v>6838.11</v>
      </c>
      <c r="P266">
        <f t="shared" si="36"/>
        <v>0.515267900335921</v>
      </c>
      <c r="Q266" t="str">
        <f t="shared" si="37"/>
        <v>2025-05</v>
      </c>
    </row>
    <row r="267" spans="1:17">
      <c r="A267" t="s">
        <v>284</v>
      </c>
      <c r="B267" s="10">
        <v>45748</v>
      </c>
      <c r="C267" t="s">
        <v>22</v>
      </c>
      <c r="D267" t="s">
        <v>17</v>
      </c>
      <c r="E267">
        <v>9104.87</v>
      </c>
      <c r="F267">
        <v>9829.94</v>
      </c>
      <c r="G267" s="6">
        <v>155035</v>
      </c>
      <c r="H267" s="6">
        <v>4402</v>
      </c>
      <c r="I267" s="6">
        <v>390</v>
      </c>
      <c r="J267">
        <v>14412.06</v>
      </c>
      <c r="K267">
        <f t="shared" si="32"/>
        <v>0.0283935885445222</v>
      </c>
      <c r="L267">
        <f t="shared" si="38"/>
        <v>2.23306224443435</v>
      </c>
      <c r="M267">
        <f t="shared" si="33"/>
        <v>25.2049743589744</v>
      </c>
      <c r="N267">
        <f t="shared" si="34"/>
        <v>1.46613916259916</v>
      </c>
      <c r="O267">
        <f t="shared" si="35"/>
        <v>4582.12</v>
      </c>
      <c r="P267">
        <f t="shared" si="36"/>
        <v>0.317936505954041</v>
      </c>
      <c r="Q267" t="str">
        <f t="shared" si="37"/>
        <v>2025-04</v>
      </c>
    </row>
    <row r="268" spans="1:17">
      <c r="A268" t="s">
        <v>285</v>
      </c>
      <c r="B268" s="10">
        <v>45798</v>
      </c>
      <c r="C268" t="s">
        <v>11</v>
      </c>
      <c r="D268" t="s">
        <v>17</v>
      </c>
      <c r="E268">
        <v>7876.56</v>
      </c>
      <c r="F268">
        <v>8481.08</v>
      </c>
      <c r="G268" s="6">
        <v>148308</v>
      </c>
      <c r="H268" s="6">
        <v>5069</v>
      </c>
      <c r="I268" s="6">
        <v>397</v>
      </c>
      <c r="J268">
        <v>16363.21</v>
      </c>
      <c r="K268">
        <f t="shared" si="32"/>
        <v>0.034178870998193</v>
      </c>
      <c r="L268">
        <f t="shared" si="38"/>
        <v>1.67312684947721</v>
      </c>
      <c r="M268">
        <f t="shared" si="33"/>
        <v>21.3629219143577</v>
      </c>
      <c r="N268">
        <f t="shared" si="34"/>
        <v>1.92937809807242</v>
      </c>
      <c r="O268">
        <f t="shared" si="35"/>
        <v>7882.13</v>
      </c>
      <c r="P268">
        <f t="shared" si="36"/>
        <v>0.481698273138339</v>
      </c>
      <c r="Q268" t="str">
        <f t="shared" si="37"/>
        <v>2025-05</v>
      </c>
    </row>
    <row r="269" spans="1:17">
      <c r="A269" t="s">
        <v>286</v>
      </c>
      <c r="B269" s="10">
        <v>45713</v>
      </c>
      <c r="C269" t="s">
        <v>11</v>
      </c>
      <c r="D269" t="s">
        <v>12</v>
      </c>
      <c r="E269">
        <v>4067.77</v>
      </c>
      <c r="F269">
        <v>3957.48</v>
      </c>
      <c r="G269" s="6">
        <v>74611</v>
      </c>
      <c r="H269" s="6">
        <v>2423</v>
      </c>
      <c r="I269" s="6">
        <v>354</v>
      </c>
      <c r="J269">
        <v>13523.31</v>
      </c>
      <c r="K269">
        <f t="shared" si="32"/>
        <v>0.0324751042071544</v>
      </c>
      <c r="L269">
        <f t="shared" si="38"/>
        <v>1.63329756500206</v>
      </c>
      <c r="M269">
        <f t="shared" si="33"/>
        <v>11.1793220338983</v>
      </c>
      <c r="N269">
        <f t="shared" si="34"/>
        <v>3.41715182388793</v>
      </c>
      <c r="O269">
        <f t="shared" si="35"/>
        <v>9565.83</v>
      </c>
      <c r="P269">
        <f t="shared" si="36"/>
        <v>0.707358627436626</v>
      </c>
      <c r="Q269" t="str">
        <f t="shared" si="37"/>
        <v>2025-02</v>
      </c>
    </row>
    <row r="270" spans="1:17">
      <c r="A270" t="s">
        <v>287</v>
      </c>
      <c r="B270" s="10">
        <v>45776</v>
      </c>
      <c r="C270" t="s">
        <v>24</v>
      </c>
      <c r="D270" t="s">
        <v>12</v>
      </c>
      <c r="E270">
        <v>5968.91</v>
      </c>
      <c r="F270">
        <v>6093.86</v>
      </c>
      <c r="G270" s="6">
        <v>196435</v>
      </c>
      <c r="H270" s="6">
        <v>5991</v>
      </c>
      <c r="I270" s="6">
        <v>805</v>
      </c>
      <c r="J270">
        <v>38664.96</v>
      </c>
      <c r="K270">
        <f t="shared" si="32"/>
        <v>0.0304986382263853</v>
      </c>
      <c r="L270">
        <f t="shared" si="38"/>
        <v>1.01716908696378</v>
      </c>
      <c r="M270">
        <f t="shared" si="33"/>
        <v>7.57001242236025</v>
      </c>
      <c r="N270">
        <f t="shared" si="34"/>
        <v>6.34490454326158</v>
      </c>
      <c r="O270">
        <f t="shared" si="35"/>
        <v>32571.1</v>
      </c>
      <c r="P270">
        <f t="shared" si="36"/>
        <v>0.842393215976429</v>
      </c>
      <c r="Q270" t="str">
        <f t="shared" si="37"/>
        <v>2025-04</v>
      </c>
    </row>
    <row r="271" spans="1:17">
      <c r="A271" t="s">
        <v>288</v>
      </c>
      <c r="B271" s="10">
        <v>45711</v>
      </c>
      <c r="C271" t="s">
        <v>22</v>
      </c>
      <c r="D271" t="s">
        <v>12</v>
      </c>
      <c r="E271">
        <v>9478.98</v>
      </c>
      <c r="F271">
        <v>8865.23</v>
      </c>
      <c r="G271" s="6">
        <v>50483</v>
      </c>
      <c r="H271" s="6">
        <v>1111</v>
      </c>
      <c r="I271" s="6">
        <v>104</v>
      </c>
      <c r="J271">
        <v>2433.3</v>
      </c>
      <c r="K271">
        <f t="shared" si="32"/>
        <v>0.0220074084345225</v>
      </c>
      <c r="L271">
        <f t="shared" si="38"/>
        <v>7.97950495049505</v>
      </c>
      <c r="M271">
        <f t="shared" si="33"/>
        <v>85.2425961538462</v>
      </c>
      <c r="N271">
        <f t="shared" si="34"/>
        <v>0.27447680432431</v>
      </c>
      <c r="O271">
        <f t="shared" si="35"/>
        <v>-6431.93</v>
      </c>
      <c r="P271">
        <f t="shared" si="36"/>
        <v>-2.64329511363169</v>
      </c>
      <c r="Q271" t="str">
        <f t="shared" si="37"/>
        <v>2025-02</v>
      </c>
    </row>
    <row r="272" spans="1:17">
      <c r="A272" t="s">
        <v>289</v>
      </c>
      <c r="B272" s="10">
        <v>45817</v>
      </c>
      <c r="C272" t="s">
        <v>19</v>
      </c>
      <c r="D272" t="s">
        <v>12</v>
      </c>
      <c r="E272">
        <v>9893.89</v>
      </c>
      <c r="F272">
        <v>10405.1</v>
      </c>
      <c r="G272" s="6">
        <v>156463</v>
      </c>
      <c r="H272" s="6">
        <v>3470</v>
      </c>
      <c r="I272" s="6">
        <v>102</v>
      </c>
      <c r="J272">
        <v>2421.47</v>
      </c>
      <c r="K272">
        <f t="shared" si="32"/>
        <v>0.0221777672676607</v>
      </c>
      <c r="L272">
        <f t="shared" si="38"/>
        <v>2.9985878962536</v>
      </c>
      <c r="M272">
        <f t="shared" si="33"/>
        <v>102.010784313725</v>
      </c>
      <c r="N272">
        <f t="shared" si="34"/>
        <v>0.232719531768075</v>
      </c>
      <c r="O272">
        <f t="shared" si="35"/>
        <v>-7983.63</v>
      </c>
      <c r="P272">
        <f t="shared" si="36"/>
        <v>-3.29701792712691</v>
      </c>
      <c r="Q272" t="str">
        <f t="shared" si="37"/>
        <v>2025-06</v>
      </c>
    </row>
    <row r="273" spans="1:17">
      <c r="A273" t="s">
        <v>290</v>
      </c>
      <c r="B273" s="10">
        <v>45644</v>
      </c>
      <c r="C273" t="s">
        <v>19</v>
      </c>
      <c r="D273" t="s">
        <v>20</v>
      </c>
      <c r="E273">
        <v>9445.89</v>
      </c>
      <c r="F273">
        <v>10021.8</v>
      </c>
      <c r="G273" s="6">
        <v>128263</v>
      </c>
      <c r="H273" s="6">
        <v>5531</v>
      </c>
      <c r="I273" s="6">
        <v>947</v>
      </c>
      <c r="J273">
        <v>33680.19</v>
      </c>
      <c r="K273">
        <f t="shared" si="32"/>
        <v>0.0431223345781714</v>
      </c>
      <c r="L273">
        <f t="shared" si="38"/>
        <v>1.81193274272283</v>
      </c>
      <c r="M273">
        <f t="shared" si="33"/>
        <v>10.5826821541711</v>
      </c>
      <c r="N273">
        <f t="shared" si="34"/>
        <v>3.36069268993594</v>
      </c>
      <c r="O273">
        <f t="shared" si="35"/>
        <v>23658.39</v>
      </c>
      <c r="P273">
        <f t="shared" si="36"/>
        <v>0.702442296198448</v>
      </c>
      <c r="Q273" t="str">
        <f t="shared" si="37"/>
        <v>2024-12</v>
      </c>
    </row>
    <row r="274" spans="1:17">
      <c r="A274" t="s">
        <v>291</v>
      </c>
      <c r="B274" s="10">
        <v>45768</v>
      </c>
      <c r="C274" t="s">
        <v>22</v>
      </c>
      <c r="D274" t="s">
        <v>17</v>
      </c>
      <c r="E274">
        <v>7138.93</v>
      </c>
      <c r="F274">
        <v>6565.68</v>
      </c>
      <c r="G274" s="6">
        <v>52499</v>
      </c>
      <c r="H274" s="6">
        <v>1190</v>
      </c>
      <c r="I274" s="6">
        <v>108</v>
      </c>
      <c r="J274">
        <v>2337.43</v>
      </c>
      <c r="K274">
        <f t="shared" si="32"/>
        <v>0.0226670984209223</v>
      </c>
      <c r="L274">
        <f t="shared" si="38"/>
        <v>5.5173781512605</v>
      </c>
      <c r="M274">
        <f t="shared" si="33"/>
        <v>60.7933333333333</v>
      </c>
      <c r="N274">
        <f t="shared" si="34"/>
        <v>0.356007298558565</v>
      </c>
      <c r="O274">
        <f t="shared" si="35"/>
        <v>-4228.25</v>
      </c>
      <c r="P274">
        <f t="shared" si="36"/>
        <v>-1.8089311765486</v>
      </c>
      <c r="Q274" t="str">
        <f t="shared" si="37"/>
        <v>2025-04</v>
      </c>
    </row>
    <row r="275" spans="1:17">
      <c r="A275" t="s">
        <v>292</v>
      </c>
      <c r="B275" s="10">
        <v>45657</v>
      </c>
      <c r="C275" t="s">
        <v>11</v>
      </c>
      <c r="D275" t="s">
        <v>15</v>
      </c>
      <c r="E275">
        <v>5346.38</v>
      </c>
      <c r="F275">
        <v>5564.81</v>
      </c>
      <c r="G275" s="6">
        <v>67097</v>
      </c>
      <c r="H275" s="6">
        <v>1613</v>
      </c>
      <c r="I275" s="6">
        <v>258</v>
      </c>
      <c r="J275">
        <v>5195.85</v>
      </c>
      <c r="K275">
        <f t="shared" si="32"/>
        <v>0.0240398229429036</v>
      </c>
      <c r="L275">
        <f t="shared" si="38"/>
        <v>3.44997520148791</v>
      </c>
      <c r="M275">
        <f t="shared" si="33"/>
        <v>21.5690310077519</v>
      </c>
      <c r="N275">
        <f t="shared" si="34"/>
        <v>0.933697646460526</v>
      </c>
      <c r="O275">
        <f t="shared" si="35"/>
        <v>-368.96</v>
      </c>
      <c r="P275">
        <f t="shared" si="36"/>
        <v>-0.0710105180095653</v>
      </c>
      <c r="Q275" t="str">
        <f t="shared" si="37"/>
        <v>2024-12</v>
      </c>
    </row>
    <row r="276" spans="1:17">
      <c r="A276" t="s">
        <v>293</v>
      </c>
      <c r="B276" s="10">
        <v>45641</v>
      </c>
      <c r="C276" t="s">
        <v>14</v>
      </c>
      <c r="D276" t="s">
        <v>20</v>
      </c>
      <c r="E276">
        <v>5334.49</v>
      </c>
      <c r="F276">
        <v>4904.8</v>
      </c>
      <c r="G276" s="6">
        <v>191774</v>
      </c>
      <c r="H276" s="6">
        <v>6884</v>
      </c>
      <c r="I276" s="6">
        <v>582</v>
      </c>
      <c r="J276">
        <v>21022.93</v>
      </c>
      <c r="K276">
        <f t="shared" si="32"/>
        <v>0.0358964197440738</v>
      </c>
      <c r="L276">
        <f t="shared" si="38"/>
        <v>0.712492736780941</v>
      </c>
      <c r="M276">
        <f t="shared" si="33"/>
        <v>8.42749140893471</v>
      </c>
      <c r="N276">
        <f t="shared" si="34"/>
        <v>4.28619515576578</v>
      </c>
      <c r="O276">
        <f t="shared" si="35"/>
        <v>16118.13</v>
      </c>
      <c r="P276">
        <f t="shared" si="36"/>
        <v>0.766692844432246</v>
      </c>
      <c r="Q276" t="str">
        <f t="shared" si="37"/>
        <v>2024-12</v>
      </c>
    </row>
    <row r="277" spans="1:17">
      <c r="A277" t="s">
        <v>294</v>
      </c>
      <c r="B277" s="10">
        <v>45663</v>
      </c>
      <c r="C277" t="s">
        <v>19</v>
      </c>
      <c r="D277" t="s">
        <v>20</v>
      </c>
      <c r="E277">
        <v>9438.99</v>
      </c>
      <c r="F277">
        <v>8531.94</v>
      </c>
      <c r="G277" s="6">
        <v>178702</v>
      </c>
      <c r="H277" s="6">
        <v>4580</v>
      </c>
      <c r="I277" s="6">
        <v>285</v>
      </c>
      <c r="J277">
        <v>8666.45</v>
      </c>
      <c r="K277">
        <f t="shared" si="32"/>
        <v>0.025629259885172</v>
      </c>
      <c r="L277">
        <f t="shared" si="38"/>
        <v>1.86286899563319</v>
      </c>
      <c r="M277">
        <f t="shared" si="33"/>
        <v>29.9366315789474</v>
      </c>
      <c r="N277">
        <f t="shared" si="34"/>
        <v>1.0157654648298</v>
      </c>
      <c r="O277">
        <f t="shared" si="35"/>
        <v>134.51</v>
      </c>
      <c r="P277">
        <f t="shared" si="36"/>
        <v>0.0155207726347005</v>
      </c>
      <c r="Q277" t="str">
        <f t="shared" si="37"/>
        <v>2025-01</v>
      </c>
    </row>
    <row r="278" spans="1:17">
      <c r="A278" t="s">
        <v>295</v>
      </c>
      <c r="B278" s="10">
        <v>45668</v>
      </c>
      <c r="C278" t="s">
        <v>24</v>
      </c>
      <c r="D278" t="s">
        <v>20</v>
      </c>
      <c r="E278">
        <v>8162.51</v>
      </c>
      <c r="F278">
        <v>7637.38</v>
      </c>
      <c r="G278" s="6">
        <v>70461</v>
      </c>
      <c r="H278" s="6">
        <v>2962</v>
      </c>
      <c r="I278" s="6">
        <v>302</v>
      </c>
      <c r="J278">
        <v>8074.92</v>
      </c>
      <c r="K278">
        <f t="shared" si="32"/>
        <v>0.0420374391507359</v>
      </c>
      <c r="L278">
        <f t="shared" si="38"/>
        <v>2.57845374746793</v>
      </c>
      <c r="M278">
        <f t="shared" si="33"/>
        <v>25.2893377483444</v>
      </c>
      <c r="N278">
        <f t="shared" si="34"/>
        <v>1.05728927983157</v>
      </c>
      <c r="O278">
        <f t="shared" si="35"/>
        <v>437.54</v>
      </c>
      <c r="P278">
        <f t="shared" si="36"/>
        <v>0.0541850569417406</v>
      </c>
      <c r="Q278" t="str">
        <f t="shared" si="37"/>
        <v>2025-01</v>
      </c>
    </row>
    <row r="279" spans="1:17">
      <c r="A279" t="s">
        <v>296</v>
      </c>
      <c r="B279" s="10">
        <v>45812</v>
      </c>
      <c r="C279" t="s">
        <v>22</v>
      </c>
      <c r="D279" t="s">
        <v>12</v>
      </c>
      <c r="E279">
        <v>6167.08</v>
      </c>
      <c r="F279">
        <v>5194.27</v>
      </c>
      <c r="G279" s="6">
        <v>105961</v>
      </c>
      <c r="H279" s="6">
        <v>4343</v>
      </c>
      <c r="I279" s="6">
        <v>558</v>
      </c>
      <c r="J279">
        <v>14112.72</v>
      </c>
      <c r="K279">
        <f t="shared" si="32"/>
        <v>0.0409867781542266</v>
      </c>
      <c r="L279">
        <f t="shared" si="38"/>
        <v>1.19600967073452</v>
      </c>
      <c r="M279">
        <f t="shared" si="33"/>
        <v>9.30872759856631</v>
      </c>
      <c r="N279">
        <f t="shared" si="34"/>
        <v>2.71697851671168</v>
      </c>
      <c r="O279">
        <f t="shared" si="35"/>
        <v>8918.45</v>
      </c>
      <c r="P279">
        <f t="shared" si="36"/>
        <v>0.63194409015413</v>
      </c>
      <c r="Q279" t="str">
        <f t="shared" si="37"/>
        <v>2025-06</v>
      </c>
    </row>
    <row r="280" spans="1:17">
      <c r="A280" t="s">
        <v>297</v>
      </c>
      <c r="B280" s="10">
        <v>45711</v>
      </c>
      <c r="C280" t="s">
        <v>22</v>
      </c>
      <c r="D280" t="s">
        <v>15</v>
      </c>
      <c r="E280">
        <v>6488.57</v>
      </c>
      <c r="F280">
        <v>6006.32</v>
      </c>
      <c r="G280" s="6">
        <v>70597</v>
      </c>
      <c r="H280" s="6">
        <v>2706</v>
      </c>
      <c r="I280" s="6">
        <v>330</v>
      </c>
      <c r="J280">
        <v>15656.97</v>
      </c>
      <c r="K280">
        <f t="shared" si="32"/>
        <v>0.0383302406617845</v>
      </c>
      <c r="L280">
        <f t="shared" si="38"/>
        <v>2.21963045084996</v>
      </c>
      <c r="M280">
        <f t="shared" si="33"/>
        <v>18.2009696969697</v>
      </c>
      <c r="N280">
        <f t="shared" si="34"/>
        <v>2.60674922415056</v>
      </c>
      <c r="O280">
        <f t="shared" si="35"/>
        <v>9650.65</v>
      </c>
      <c r="P280">
        <f t="shared" si="36"/>
        <v>0.616380436316861</v>
      </c>
      <c r="Q280" t="str">
        <f t="shared" si="37"/>
        <v>2025-02</v>
      </c>
    </row>
    <row r="281" spans="1:17">
      <c r="A281" t="s">
        <v>298</v>
      </c>
      <c r="B281" s="10">
        <v>45706</v>
      </c>
      <c r="C281" t="s">
        <v>11</v>
      </c>
      <c r="D281" t="s">
        <v>15</v>
      </c>
      <c r="E281">
        <v>5536.76</v>
      </c>
      <c r="F281">
        <v>5393.78</v>
      </c>
      <c r="G281" s="6">
        <v>99708</v>
      </c>
      <c r="H281" s="6">
        <v>4677</v>
      </c>
      <c r="I281" s="6">
        <v>700</v>
      </c>
      <c r="J281">
        <v>27277.55</v>
      </c>
      <c r="K281">
        <f t="shared" si="32"/>
        <v>0.0469069683475749</v>
      </c>
      <c r="L281">
        <f t="shared" si="38"/>
        <v>1.15325636091512</v>
      </c>
      <c r="M281">
        <f t="shared" si="33"/>
        <v>7.7054</v>
      </c>
      <c r="N281">
        <f t="shared" si="34"/>
        <v>5.05722332019474</v>
      </c>
      <c r="O281">
        <f t="shared" si="35"/>
        <v>21883.77</v>
      </c>
      <c r="P281">
        <f t="shared" si="36"/>
        <v>0.802263033153637</v>
      </c>
      <c r="Q281" t="str">
        <f t="shared" si="37"/>
        <v>2025-02</v>
      </c>
    </row>
    <row r="282" spans="1:17">
      <c r="A282" t="s">
        <v>299</v>
      </c>
      <c r="B282" s="10">
        <v>45682</v>
      </c>
      <c r="C282" t="s">
        <v>19</v>
      </c>
      <c r="D282" t="s">
        <v>15</v>
      </c>
      <c r="E282">
        <v>3091.66</v>
      </c>
      <c r="F282">
        <v>3088.76</v>
      </c>
      <c r="G282" s="6">
        <v>170519</v>
      </c>
      <c r="H282" s="6">
        <v>7134</v>
      </c>
      <c r="I282" s="6">
        <v>1220</v>
      </c>
      <c r="J282">
        <v>30916.12</v>
      </c>
      <c r="K282">
        <f t="shared" si="32"/>
        <v>0.0418369800432796</v>
      </c>
      <c r="L282">
        <f t="shared" si="38"/>
        <v>0.432963274460331</v>
      </c>
      <c r="M282">
        <f t="shared" si="33"/>
        <v>2.53177049180328</v>
      </c>
      <c r="N282">
        <f t="shared" si="34"/>
        <v>10.009233478807</v>
      </c>
      <c r="O282">
        <f t="shared" si="35"/>
        <v>27827.36</v>
      </c>
      <c r="P282">
        <f t="shared" si="36"/>
        <v>0.900092249609589</v>
      </c>
      <c r="Q282" t="str">
        <f t="shared" si="37"/>
        <v>2025-01</v>
      </c>
    </row>
    <row r="283" spans="1:17">
      <c r="A283" t="s">
        <v>300</v>
      </c>
      <c r="B283" s="10">
        <v>45797</v>
      </c>
      <c r="C283" t="s">
        <v>22</v>
      </c>
      <c r="D283" t="s">
        <v>12</v>
      </c>
      <c r="E283">
        <v>9727.49</v>
      </c>
      <c r="F283">
        <v>8215.83</v>
      </c>
      <c r="G283" s="6">
        <v>124323</v>
      </c>
      <c r="H283" s="6">
        <v>2448</v>
      </c>
      <c r="I283" s="6">
        <v>214</v>
      </c>
      <c r="J283">
        <v>6941.89</v>
      </c>
      <c r="K283">
        <f t="shared" si="32"/>
        <v>0.0196906445307787</v>
      </c>
      <c r="L283">
        <f t="shared" si="38"/>
        <v>3.35613970588235</v>
      </c>
      <c r="M283">
        <f t="shared" si="33"/>
        <v>38.3917289719626</v>
      </c>
      <c r="N283">
        <f t="shared" si="34"/>
        <v>0.844940803302892</v>
      </c>
      <c r="O283">
        <f t="shared" si="35"/>
        <v>-1273.94</v>
      </c>
      <c r="P283">
        <f t="shared" si="36"/>
        <v>-0.183514864107613</v>
      </c>
      <c r="Q283" t="str">
        <f t="shared" si="37"/>
        <v>2025-05</v>
      </c>
    </row>
    <row r="284" spans="1:17">
      <c r="A284" t="s">
        <v>301</v>
      </c>
      <c r="B284" s="10">
        <v>45643</v>
      </c>
      <c r="C284" t="s">
        <v>19</v>
      </c>
      <c r="D284" t="s">
        <v>12</v>
      </c>
      <c r="E284">
        <v>3597.45</v>
      </c>
      <c r="F284">
        <v>3953.82</v>
      </c>
      <c r="G284" s="6">
        <v>92675</v>
      </c>
      <c r="H284" s="6">
        <v>1207</v>
      </c>
      <c r="I284" s="6">
        <v>133</v>
      </c>
      <c r="J284">
        <v>4663.76</v>
      </c>
      <c r="K284">
        <f t="shared" si="32"/>
        <v>0.0130240086323172</v>
      </c>
      <c r="L284">
        <f t="shared" si="38"/>
        <v>3.27574150787075</v>
      </c>
      <c r="M284">
        <f t="shared" si="33"/>
        <v>29.727969924812</v>
      </c>
      <c r="N284">
        <f t="shared" si="34"/>
        <v>1.17955799707625</v>
      </c>
      <c r="O284">
        <f t="shared" si="35"/>
        <v>709.94</v>
      </c>
      <c r="P284">
        <f t="shared" si="36"/>
        <v>0.152224814312915</v>
      </c>
      <c r="Q284" t="str">
        <f t="shared" si="37"/>
        <v>2024-12</v>
      </c>
    </row>
    <row r="285" spans="1:17">
      <c r="A285" t="s">
        <v>302</v>
      </c>
      <c r="B285" s="10">
        <v>45763</v>
      </c>
      <c r="C285" t="s">
        <v>11</v>
      </c>
      <c r="D285" t="s">
        <v>12</v>
      </c>
      <c r="E285">
        <v>7167.7</v>
      </c>
      <c r="F285">
        <v>5878.4</v>
      </c>
      <c r="G285" s="6">
        <v>71769</v>
      </c>
      <c r="H285" s="6">
        <v>3290</v>
      </c>
      <c r="I285" s="6">
        <v>54</v>
      </c>
      <c r="J285">
        <v>2294.94</v>
      </c>
      <c r="K285">
        <f t="shared" si="32"/>
        <v>0.045841519318926</v>
      </c>
      <c r="L285">
        <f t="shared" si="38"/>
        <v>1.78674772036474</v>
      </c>
      <c r="M285">
        <f t="shared" si="33"/>
        <v>108.859259259259</v>
      </c>
      <c r="N285">
        <f t="shared" si="34"/>
        <v>0.390402150244965</v>
      </c>
      <c r="O285">
        <f t="shared" si="35"/>
        <v>-3583.46</v>
      </c>
      <c r="P285">
        <f t="shared" si="36"/>
        <v>-1.56146130182053</v>
      </c>
      <c r="Q285" t="str">
        <f t="shared" si="37"/>
        <v>2025-04</v>
      </c>
    </row>
    <row r="286" spans="1:17">
      <c r="A286" t="s">
        <v>303</v>
      </c>
      <c r="B286" s="10">
        <v>45754</v>
      </c>
      <c r="C286" t="s">
        <v>11</v>
      </c>
      <c r="D286" t="s">
        <v>15</v>
      </c>
      <c r="E286">
        <v>4469.34</v>
      </c>
      <c r="F286">
        <v>4779.58</v>
      </c>
      <c r="G286" s="6">
        <v>61798</v>
      </c>
      <c r="H286" s="6">
        <v>1170</v>
      </c>
      <c r="I286" s="6">
        <v>114</v>
      </c>
      <c r="J286">
        <v>2981.58</v>
      </c>
      <c r="K286">
        <f t="shared" si="32"/>
        <v>0.0189326515421211</v>
      </c>
      <c r="L286">
        <f t="shared" si="38"/>
        <v>4.08511111111111</v>
      </c>
      <c r="M286">
        <f t="shared" si="33"/>
        <v>41.9261403508772</v>
      </c>
      <c r="N286">
        <f t="shared" si="34"/>
        <v>0.623816318588663</v>
      </c>
      <c r="O286">
        <f t="shared" si="35"/>
        <v>-1798</v>
      </c>
      <c r="P286">
        <f t="shared" si="36"/>
        <v>-0.603035974215014</v>
      </c>
      <c r="Q286" t="str">
        <f t="shared" si="37"/>
        <v>2025-04</v>
      </c>
    </row>
    <row r="287" spans="1:17">
      <c r="A287" t="s">
        <v>304</v>
      </c>
      <c r="B287" s="10">
        <v>45693</v>
      </c>
      <c r="C287" t="s">
        <v>24</v>
      </c>
      <c r="D287" t="s">
        <v>12</v>
      </c>
      <c r="E287">
        <v>4334.81</v>
      </c>
      <c r="F287">
        <v>3515.38</v>
      </c>
      <c r="G287" s="6">
        <v>78277</v>
      </c>
      <c r="H287" s="6">
        <v>1196</v>
      </c>
      <c r="I287" s="6">
        <v>224</v>
      </c>
      <c r="J287">
        <v>7652.29</v>
      </c>
      <c r="K287">
        <f t="shared" si="32"/>
        <v>0.0152790730355021</v>
      </c>
      <c r="L287">
        <f t="shared" si="38"/>
        <v>2.93928093645485</v>
      </c>
      <c r="M287">
        <f t="shared" si="33"/>
        <v>15.6936607142857</v>
      </c>
      <c r="N287">
        <f t="shared" si="34"/>
        <v>2.17680307676553</v>
      </c>
      <c r="O287">
        <f t="shared" si="35"/>
        <v>4136.91</v>
      </c>
      <c r="P287">
        <f t="shared" si="36"/>
        <v>0.540610719144204</v>
      </c>
      <c r="Q287" t="str">
        <f t="shared" si="37"/>
        <v>2025-02</v>
      </c>
    </row>
    <row r="288" spans="1:17">
      <c r="A288" t="s">
        <v>305</v>
      </c>
      <c r="B288" s="10">
        <v>45814</v>
      </c>
      <c r="C288" t="s">
        <v>14</v>
      </c>
      <c r="D288" t="s">
        <v>15</v>
      </c>
      <c r="E288">
        <v>6953.89</v>
      </c>
      <c r="F288">
        <v>5700.19</v>
      </c>
      <c r="G288" s="6">
        <v>65823</v>
      </c>
      <c r="H288" s="6">
        <v>1049</v>
      </c>
      <c r="I288" s="6">
        <v>73</v>
      </c>
      <c r="J288">
        <v>3158.41</v>
      </c>
      <c r="K288">
        <f t="shared" si="32"/>
        <v>0.0159366786685505</v>
      </c>
      <c r="L288">
        <f t="shared" si="38"/>
        <v>5.43392755004766</v>
      </c>
      <c r="M288">
        <f t="shared" si="33"/>
        <v>78.0847945205479</v>
      </c>
      <c r="N288">
        <f t="shared" si="34"/>
        <v>0.554088547925595</v>
      </c>
      <c r="O288">
        <f t="shared" si="35"/>
        <v>-2541.78</v>
      </c>
      <c r="P288">
        <f t="shared" si="36"/>
        <v>-0.804765689065068</v>
      </c>
      <c r="Q288" t="str">
        <f t="shared" si="37"/>
        <v>2025-06</v>
      </c>
    </row>
    <row r="289" spans="1:17">
      <c r="A289" t="s">
        <v>306</v>
      </c>
      <c r="B289" s="10">
        <v>45738</v>
      </c>
      <c r="C289" t="s">
        <v>22</v>
      </c>
      <c r="D289" t="s">
        <v>12</v>
      </c>
      <c r="E289">
        <v>6173.02</v>
      </c>
      <c r="F289">
        <v>5909.54</v>
      </c>
      <c r="G289" s="6">
        <v>146175</v>
      </c>
      <c r="H289" s="6">
        <v>1946</v>
      </c>
      <c r="I289" s="6">
        <v>140</v>
      </c>
      <c r="J289">
        <v>4651.2</v>
      </c>
      <c r="K289">
        <f t="shared" si="32"/>
        <v>0.013312809988028</v>
      </c>
      <c r="L289">
        <f t="shared" si="38"/>
        <v>3.03676258992806</v>
      </c>
      <c r="M289">
        <f t="shared" si="33"/>
        <v>42.211</v>
      </c>
      <c r="N289">
        <f t="shared" si="34"/>
        <v>0.787066336804557</v>
      </c>
      <c r="O289">
        <f t="shared" si="35"/>
        <v>-1258.34</v>
      </c>
      <c r="P289">
        <f t="shared" si="36"/>
        <v>-0.270540935672515</v>
      </c>
      <c r="Q289" t="str">
        <f t="shared" si="37"/>
        <v>2025-03</v>
      </c>
    </row>
    <row r="290" spans="1:17">
      <c r="A290" t="s">
        <v>307</v>
      </c>
      <c r="B290" s="10">
        <v>45642</v>
      </c>
      <c r="C290" t="s">
        <v>11</v>
      </c>
      <c r="D290" t="s">
        <v>17</v>
      </c>
      <c r="E290">
        <v>5805.34</v>
      </c>
      <c r="F290">
        <v>5618.94</v>
      </c>
      <c r="G290" s="6">
        <v>102654</v>
      </c>
      <c r="H290" s="6">
        <v>4465</v>
      </c>
      <c r="I290" s="6">
        <v>500</v>
      </c>
      <c r="J290">
        <v>12328.6</v>
      </c>
      <c r="K290">
        <f t="shared" si="32"/>
        <v>0.0434956260837376</v>
      </c>
      <c r="L290">
        <f t="shared" si="38"/>
        <v>1.25844120940649</v>
      </c>
      <c r="M290">
        <f t="shared" si="33"/>
        <v>11.23788</v>
      </c>
      <c r="N290">
        <f t="shared" si="34"/>
        <v>2.19411490423461</v>
      </c>
      <c r="O290">
        <f t="shared" si="35"/>
        <v>6709.66</v>
      </c>
      <c r="P290">
        <f t="shared" si="36"/>
        <v>0.54423535519037</v>
      </c>
      <c r="Q290" t="str">
        <f t="shared" si="37"/>
        <v>2024-12</v>
      </c>
    </row>
    <row r="291" spans="1:17">
      <c r="A291" t="s">
        <v>308</v>
      </c>
      <c r="B291" s="10">
        <v>45675</v>
      </c>
      <c r="C291" t="s">
        <v>19</v>
      </c>
      <c r="D291" t="s">
        <v>20</v>
      </c>
      <c r="E291">
        <v>4273.5</v>
      </c>
      <c r="F291">
        <v>4523.65</v>
      </c>
      <c r="G291" s="6">
        <v>68829</v>
      </c>
      <c r="H291" s="6">
        <v>1090</v>
      </c>
      <c r="I291" s="6">
        <v>124</v>
      </c>
      <c r="J291">
        <v>5999.55</v>
      </c>
      <c r="K291">
        <f t="shared" si="32"/>
        <v>0.0158363480509669</v>
      </c>
      <c r="L291">
        <f t="shared" si="38"/>
        <v>4.1501376146789</v>
      </c>
      <c r="M291">
        <f t="shared" si="33"/>
        <v>36.4810483870968</v>
      </c>
      <c r="N291">
        <f t="shared" si="34"/>
        <v>1.32626308401402</v>
      </c>
      <c r="O291">
        <f t="shared" si="35"/>
        <v>1475.9</v>
      </c>
      <c r="P291">
        <f t="shared" si="36"/>
        <v>0.246001783467093</v>
      </c>
      <c r="Q291" t="str">
        <f t="shared" si="37"/>
        <v>2025-01</v>
      </c>
    </row>
    <row r="292" spans="1:17">
      <c r="A292" t="s">
        <v>309</v>
      </c>
      <c r="B292" s="10">
        <v>45665</v>
      </c>
      <c r="C292" t="s">
        <v>19</v>
      </c>
      <c r="D292" t="s">
        <v>15</v>
      </c>
      <c r="E292">
        <v>5613.17</v>
      </c>
      <c r="F292">
        <v>4946.46</v>
      </c>
      <c r="G292" s="6">
        <v>112356</v>
      </c>
      <c r="H292" s="6">
        <v>4894</v>
      </c>
      <c r="I292" s="6">
        <v>191</v>
      </c>
      <c r="J292">
        <v>7510.12</v>
      </c>
      <c r="K292">
        <f t="shared" si="32"/>
        <v>0.0435579764320553</v>
      </c>
      <c r="L292">
        <f t="shared" si="38"/>
        <v>1.01071924805885</v>
      </c>
      <c r="M292">
        <f t="shared" si="33"/>
        <v>25.8976963350785</v>
      </c>
      <c r="N292">
        <f t="shared" si="34"/>
        <v>1.51828176109784</v>
      </c>
      <c r="O292">
        <f t="shared" si="35"/>
        <v>2563.66</v>
      </c>
      <c r="P292">
        <f t="shared" si="36"/>
        <v>0.341360723929844</v>
      </c>
      <c r="Q292" t="str">
        <f t="shared" si="37"/>
        <v>2025-01</v>
      </c>
    </row>
    <row r="293" spans="1:17">
      <c r="A293" t="s">
        <v>310</v>
      </c>
      <c r="B293" s="10">
        <v>45661</v>
      </c>
      <c r="C293" t="s">
        <v>19</v>
      </c>
      <c r="D293" t="s">
        <v>20</v>
      </c>
      <c r="E293">
        <v>5861.14</v>
      </c>
      <c r="F293">
        <v>4733.55</v>
      </c>
      <c r="G293" s="6">
        <v>195477</v>
      </c>
      <c r="H293" s="6">
        <v>3560</v>
      </c>
      <c r="I293" s="6">
        <v>118</v>
      </c>
      <c r="J293">
        <v>2912.78</v>
      </c>
      <c r="K293">
        <f t="shared" si="32"/>
        <v>0.0182118612419875</v>
      </c>
      <c r="L293">
        <f t="shared" si="38"/>
        <v>1.32964887640449</v>
      </c>
      <c r="M293">
        <f t="shared" si="33"/>
        <v>40.1148305084746</v>
      </c>
      <c r="N293">
        <f t="shared" si="34"/>
        <v>0.615347889005081</v>
      </c>
      <c r="O293">
        <f t="shared" si="35"/>
        <v>-1820.77</v>
      </c>
      <c r="P293">
        <f t="shared" si="36"/>
        <v>-0.625096986384142</v>
      </c>
      <c r="Q293" t="str">
        <f t="shared" si="37"/>
        <v>2025-01</v>
      </c>
    </row>
    <row r="294" spans="1:17">
      <c r="A294" t="s">
        <v>311</v>
      </c>
      <c r="B294" s="10">
        <v>45791</v>
      </c>
      <c r="C294" t="s">
        <v>14</v>
      </c>
      <c r="D294" t="s">
        <v>15</v>
      </c>
      <c r="E294">
        <v>8011.81</v>
      </c>
      <c r="F294">
        <v>7993.2</v>
      </c>
      <c r="G294" s="6">
        <v>161797</v>
      </c>
      <c r="H294" s="6">
        <v>6944</v>
      </c>
      <c r="I294" s="6">
        <v>396</v>
      </c>
      <c r="J294">
        <v>8241.9</v>
      </c>
      <c r="K294">
        <f t="shared" si="32"/>
        <v>0.0429179774655896</v>
      </c>
      <c r="L294">
        <f t="shared" si="38"/>
        <v>1.15109447004608</v>
      </c>
      <c r="M294">
        <f t="shared" si="33"/>
        <v>20.1848484848485</v>
      </c>
      <c r="N294">
        <f t="shared" si="34"/>
        <v>1.03111394685483</v>
      </c>
      <c r="O294">
        <f t="shared" si="35"/>
        <v>248.7</v>
      </c>
      <c r="P294">
        <f t="shared" si="36"/>
        <v>0.030175080988607</v>
      </c>
      <c r="Q294" t="str">
        <f t="shared" si="37"/>
        <v>2025-05</v>
      </c>
    </row>
    <row r="295" spans="1:17">
      <c r="A295" t="s">
        <v>312</v>
      </c>
      <c r="B295" s="10">
        <v>45789</v>
      </c>
      <c r="C295" t="s">
        <v>14</v>
      </c>
      <c r="D295" t="s">
        <v>12</v>
      </c>
      <c r="E295">
        <v>4553.81</v>
      </c>
      <c r="F295">
        <v>3958.73</v>
      </c>
      <c r="G295" s="6">
        <v>191829</v>
      </c>
      <c r="H295" s="6">
        <v>3686</v>
      </c>
      <c r="I295" s="6">
        <v>217</v>
      </c>
      <c r="J295">
        <v>8714.02</v>
      </c>
      <c r="K295">
        <f t="shared" si="32"/>
        <v>0.0192150300528074</v>
      </c>
      <c r="L295">
        <f t="shared" si="38"/>
        <v>1.07399077590884</v>
      </c>
      <c r="M295">
        <f t="shared" si="33"/>
        <v>18.2429953917051</v>
      </c>
      <c r="N295">
        <f t="shared" si="34"/>
        <v>2.20121604656039</v>
      </c>
      <c r="O295">
        <f t="shared" si="35"/>
        <v>4755.29</v>
      </c>
      <c r="P295">
        <f t="shared" si="36"/>
        <v>0.545705655942952</v>
      </c>
      <c r="Q295" t="str">
        <f t="shared" si="37"/>
        <v>2025-05</v>
      </c>
    </row>
    <row r="296" spans="1:17">
      <c r="A296" t="s">
        <v>313</v>
      </c>
      <c r="B296" s="10">
        <v>45735</v>
      </c>
      <c r="C296" t="s">
        <v>11</v>
      </c>
      <c r="D296" t="s">
        <v>20</v>
      </c>
      <c r="E296">
        <v>3137.97</v>
      </c>
      <c r="F296">
        <v>2608.38</v>
      </c>
      <c r="G296" s="6">
        <v>54030</v>
      </c>
      <c r="H296" s="6">
        <v>2101</v>
      </c>
      <c r="I296" s="6">
        <v>226</v>
      </c>
      <c r="J296">
        <v>9943.43</v>
      </c>
      <c r="K296">
        <f t="shared" si="32"/>
        <v>0.0388858041828614</v>
      </c>
      <c r="L296">
        <f t="shared" si="38"/>
        <v>1.24149452641599</v>
      </c>
      <c r="M296">
        <f t="shared" si="33"/>
        <v>11.5415044247788</v>
      </c>
      <c r="N296">
        <f t="shared" si="34"/>
        <v>3.81210943190793</v>
      </c>
      <c r="O296">
        <f t="shared" si="35"/>
        <v>7335.05</v>
      </c>
      <c r="P296">
        <f t="shared" si="36"/>
        <v>0.737678044698861</v>
      </c>
      <c r="Q296" t="str">
        <f t="shared" si="37"/>
        <v>2025-03</v>
      </c>
    </row>
    <row r="297" spans="1:17">
      <c r="A297" t="s">
        <v>314</v>
      </c>
      <c r="B297" s="10">
        <v>45814</v>
      </c>
      <c r="C297" t="s">
        <v>14</v>
      </c>
      <c r="D297" t="s">
        <v>17</v>
      </c>
      <c r="E297">
        <v>4249.81</v>
      </c>
      <c r="F297">
        <v>4232.06</v>
      </c>
      <c r="G297" s="6">
        <v>134964</v>
      </c>
      <c r="H297" s="6">
        <v>2504</v>
      </c>
      <c r="I297" s="6">
        <v>293</v>
      </c>
      <c r="J297">
        <v>7953.63</v>
      </c>
      <c r="K297">
        <f t="shared" si="32"/>
        <v>0.0185530956403189</v>
      </c>
      <c r="L297">
        <f t="shared" si="38"/>
        <v>1.69011980830671</v>
      </c>
      <c r="M297">
        <f t="shared" si="33"/>
        <v>14.4438907849829</v>
      </c>
      <c r="N297">
        <f t="shared" si="34"/>
        <v>1.87937552870233</v>
      </c>
      <c r="O297">
        <f t="shared" si="35"/>
        <v>3721.57</v>
      </c>
      <c r="P297">
        <f t="shared" si="36"/>
        <v>0.467908363853989</v>
      </c>
      <c r="Q297" t="str">
        <f t="shared" si="37"/>
        <v>2025-06</v>
      </c>
    </row>
    <row r="298" spans="1:17">
      <c r="A298" t="s">
        <v>315</v>
      </c>
      <c r="B298" s="10">
        <v>45702</v>
      </c>
      <c r="C298" t="s">
        <v>22</v>
      </c>
      <c r="D298" t="s">
        <v>17</v>
      </c>
      <c r="E298">
        <v>3696.09</v>
      </c>
      <c r="F298">
        <v>3226.51</v>
      </c>
      <c r="G298" s="6">
        <v>99410</v>
      </c>
      <c r="H298" s="6">
        <v>4795</v>
      </c>
      <c r="I298" s="6">
        <v>100</v>
      </c>
      <c r="J298">
        <v>4166.8</v>
      </c>
      <c r="K298">
        <f t="shared" si="32"/>
        <v>0.0482345840458706</v>
      </c>
      <c r="L298">
        <f t="shared" si="38"/>
        <v>0.672890510948905</v>
      </c>
      <c r="M298">
        <f t="shared" si="33"/>
        <v>32.2651</v>
      </c>
      <c r="N298">
        <f t="shared" si="34"/>
        <v>1.29142633991526</v>
      </c>
      <c r="O298">
        <f t="shared" si="35"/>
        <v>940.29</v>
      </c>
      <c r="P298">
        <f t="shared" si="36"/>
        <v>0.225662378803878</v>
      </c>
      <c r="Q298" t="str">
        <f t="shared" si="37"/>
        <v>2025-02</v>
      </c>
    </row>
    <row r="299" spans="1:17">
      <c r="A299" t="s">
        <v>316</v>
      </c>
      <c r="B299" s="10">
        <v>45655</v>
      </c>
      <c r="C299" t="s">
        <v>11</v>
      </c>
      <c r="D299" t="s">
        <v>15</v>
      </c>
      <c r="E299">
        <v>8989.88</v>
      </c>
      <c r="F299">
        <v>9430.98</v>
      </c>
      <c r="G299" s="6">
        <v>152642</v>
      </c>
      <c r="H299" s="6">
        <v>2474</v>
      </c>
      <c r="I299" s="6">
        <v>292</v>
      </c>
      <c r="J299">
        <v>9319.33</v>
      </c>
      <c r="K299">
        <f t="shared" si="32"/>
        <v>0.0162078589117019</v>
      </c>
      <c r="L299">
        <f t="shared" si="38"/>
        <v>3.81203718674212</v>
      </c>
      <c r="M299">
        <f t="shared" si="33"/>
        <v>32.2978767123288</v>
      </c>
      <c r="N299">
        <f t="shared" si="34"/>
        <v>0.988161357568355</v>
      </c>
      <c r="O299">
        <f t="shared" si="35"/>
        <v>-111.65</v>
      </c>
      <c r="P299">
        <f t="shared" si="36"/>
        <v>-0.0119804749912279</v>
      </c>
      <c r="Q299" t="str">
        <f t="shared" si="37"/>
        <v>2024-12</v>
      </c>
    </row>
    <row r="300" spans="1:17">
      <c r="A300" t="s">
        <v>317</v>
      </c>
      <c r="B300" s="10">
        <v>45756</v>
      </c>
      <c r="C300" t="s">
        <v>19</v>
      </c>
      <c r="D300" t="s">
        <v>12</v>
      </c>
      <c r="E300">
        <v>7676.6</v>
      </c>
      <c r="F300">
        <v>6613.35</v>
      </c>
      <c r="G300" s="6">
        <v>111235</v>
      </c>
      <c r="H300" s="6">
        <v>4808</v>
      </c>
      <c r="I300" s="6">
        <v>370</v>
      </c>
      <c r="J300">
        <v>10653.94</v>
      </c>
      <c r="K300">
        <f t="shared" si="32"/>
        <v>0.0432238054569155</v>
      </c>
      <c r="L300">
        <f t="shared" si="38"/>
        <v>1.3754887687188</v>
      </c>
      <c r="M300">
        <f t="shared" si="33"/>
        <v>17.8739189189189</v>
      </c>
      <c r="N300">
        <f t="shared" si="34"/>
        <v>1.6109747707289</v>
      </c>
      <c r="O300">
        <f t="shared" si="35"/>
        <v>4040.59</v>
      </c>
      <c r="P300">
        <f t="shared" si="36"/>
        <v>0.379257814479901</v>
      </c>
      <c r="Q300" t="str">
        <f t="shared" si="37"/>
        <v>2025-04</v>
      </c>
    </row>
    <row r="301" spans="1:17">
      <c r="A301" t="s">
        <v>318</v>
      </c>
      <c r="B301" s="10">
        <v>45718</v>
      </c>
      <c r="C301" t="s">
        <v>22</v>
      </c>
      <c r="D301" t="s">
        <v>12</v>
      </c>
      <c r="E301">
        <v>9274.35</v>
      </c>
      <c r="F301">
        <v>7455.66</v>
      </c>
      <c r="G301" s="6">
        <v>195593</v>
      </c>
      <c r="H301" s="6">
        <v>5136</v>
      </c>
      <c r="I301" s="6">
        <v>798</v>
      </c>
      <c r="J301">
        <v>18007.07</v>
      </c>
      <c r="K301">
        <f t="shared" si="32"/>
        <v>0.0262586084369073</v>
      </c>
      <c r="L301">
        <f t="shared" si="38"/>
        <v>1.45164719626168</v>
      </c>
      <c r="M301">
        <f t="shared" si="33"/>
        <v>9.34293233082707</v>
      </c>
      <c r="N301">
        <f t="shared" si="34"/>
        <v>2.41522145591403</v>
      </c>
      <c r="O301">
        <f t="shared" si="35"/>
        <v>10551.41</v>
      </c>
      <c r="P301">
        <f t="shared" si="36"/>
        <v>0.585959292655607</v>
      </c>
      <c r="Q301" t="str">
        <f t="shared" si="37"/>
        <v>2025-03</v>
      </c>
    </row>
    <row r="302" spans="1:17">
      <c r="A302" t="s">
        <v>319</v>
      </c>
      <c r="B302" s="10">
        <v>45789</v>
      </c>
      <c r="C302" t="s">
        <v>22</v>
      </c>
      <c r="D302" t="s">
        <v>17</v>
      </c>
      <c r="E302">
        <v>4455.2</v>
      </c>
      <c r="F302">
        <v>3599.62</v>
      </c>
      <c r="G302" s="6">
        <v>191906</v>
      </c>
      <c r="H302" s="6">
        <v>3380</v>
      </c>
      <c r="I302" s="6">
        <v>512</v>
      </c>
      <c r="J302">
        <v>13026.85</v>
      </c>
      <c r="K302">
        <f t="shared" si="32"/>
        <v>0.0176127895949058</v>
      </c>
      <c r="L302">
        <f t="shared" si="38"/>
        <v>1.06497633136095</v>
      </c>
      <c r="M302">
        <f t="shared" si="33"/>
        <v>7.0305078125</v>
      </c>
      <c r="N302">
        <f t="shared" si="34"/>
        <v>3.61895144487474</v>
      </c>
      <c r="O302">
        <f t="shared" si="35"/>
        <v>9427.23</v>
      </c>
      <c r="P302">
        <f t="shared" si="36"/>
        <v>0.723676867393115</v>
      </c>
      <c r="Q302" t="str">
        <f t="shared" si="37"/>
        <v>2025-05</v>
      </c>
    </row>
    <row r="303" spans="1:17">
      <c r="A303" t="s">
        <v>320</v>
      </c>
      <c r="B303" s="10">
        <v>45739</v>
      </c>
      <c r="C303" t="s">
        <v>19</v>
      </c>
      <c r="D303" t="s">
        <v>17</v>
      </c>
      <c r="E303">
        <v>7081.29</v>
      </c>
      <c r="F303">
        <v>6560.3</v>
      </c>
      <c r="G303" s="6">
        <v>163874</v>
      </c>
      <c r="H303" s="6">
        <v>4357</v>
      </c>
      <c r="I303" s="6">
        <v>137</v>
      </c>
      <c r="J303">
        <v>6408.88</v>
      </c>
      <c r="K303">
        <f t="shared" si="32"/>
        <v>0.0265875001525562</v>
      </c>
      <c r="L303">
        <f t="shared" si="38"/>
        <v>1.50569198990131</v>
      </c>
      <c r="M303">
        <f t="shared" si="33"/>
        <v>47.885401459854</v>
      </c>
      <c r="N303">
        <f t="shared" si="34"/>
        <v>0.976918738472326</v>
      </c>
      <c r="O303">
        <f t="shared" si="35"/>
        <v>-151.42</v>
      </c>
      <c r="P303">
        <f t="shared" si="36"/>
        <v>-0.0236265931020709</v>
      </c>
      <c r="Q303" t="str">
        <f t="shared" si="37"/>
        <v>2025-03</v>
      </c>
    </row>
    <row r="304" spans="1:17">
      <c r="A304" t="s">
        <v>321</v>
      </c>
      <c r="B304" s="10">
        <v>45759</v>
      </c>
      <c r="C304" t="s">
        <v>11</v>
      </c>
      <c r="D304" t="s">
        <v>20</v>
      </c>
      <c r="E304">
        <v>8722.1</v>
      </c>
      <c r="F304">
        <v>7872.09</v>
      </c>
      <c r="G304" s="6">
        <v>173144</v>
      </c>
      <c r="H304" s="6">
        <v>7537</v>
      </c>
      <c r="I304" s="6">
        <v>1161</v>
      </c>
      <c r="J304">
        <v>32255.72</v>
      </c>
      <c r="K304">
        <f t="shared" si="32"/>
        <v>0.0435302407244837</v>
      </c>
      <c r="L304">
        <f t="shared" si="38"/>
        <v>1.0444593339525</v>
      </c>
      <c r="M304">
        <f t="shared" si="33"/>
        <v>6.78043927648579</v>
      </c>
      <c r="N304">
        <f t="shared" si="34"/>
        <v>4.0974785603315</v>
      </c>
      <c r="O304">
        <f t="shared" si="35"/>
        <v>24383.63</v>
      </c>
      <c r="P304">
        <f t="shared" si="36"/>
        <v>0.755947472262284</v>
      </c>
      <c r="Q304" t="str">
        <f t="shared" si="37"/>
        <v>2025-04</v>
      </c>
    </row>
    <row r="305" spans="1:17">
      <c r="A305" t="s">
        <v>322</v>
      </c>
      <c r="B305" s="10">
        <v>45675</v>
      </c>
      <c r="C305" t="s">
        <v>24</v>
      </c>
      <c r="D305" t="s">
        <v>12</v>
      </c>
      <c r="E305">
        <v>5657.85</v>
      </c>
      <c r="F305">
        <v>5528.22</v>
      </c>
      <c r="G305" s="6">
        <v>131078</v>
      </c>
      <c r="H305" s="6">
        <v>4550</v>
      </c>
      <c r="I305" s="6">
        <v>114</v>
      </c>
      <c r="J305">
        <v>3196.78</v>
      </c>
      <c r="K305">
        <f t="shared" si="32"/>
        <v>0.034712156120783</v>
      </c>
      <c r="L305">
        <f t="shared" si="38"/>
        <v>1.21499340659341</v>
      </c>
      <c r="M305">
        <f t="shared" si="33"/>
        <v>48.4931578947368</v>
      </c>
      <c r="N305">
        <f t="shared" si="34"/>
        <v>0.578265698543111</v>
      </c>
      <c r="O305">
        <f t="shared" si="35"/>
        <v>-2331.44</v>
      </c>
      <c r="P305">
        <f t="shared" si="36"/>
        <v>-0.729308867047466</v>
      </c>
      <c r="Q305" t="str">
        <f t="shared" si="37"/>
        <v>2025-01</v>
      </c>
    </row>
    <row r="306" spans="1:17">
      <c r="A306" t="s">
        <v>323</v>
      </c>
      <c r="B306" s="10">
        <v>45745</v>
      </c>
      <c r="C306" t="s">
        <v>14</v>
      </c>
      <c r="D306" t="s">
        <v>20</v>
      </c>
      <c r="E306">
        <v>7369.04</v>
      </c>
      <c r="F306">
        <v>6800.32</v>
      </c>
      <c r="G306" s="6">
        <v>171377</v>
      </c>
      <c r="H306" s="6">
        <v>4129</v>
      </c>
      <c r="I306" s="6">
        <v>453</v>
      </c>
      <c r="J306">
        <v>16562.32</v>
      </c>
      <c r="K306">
        <f t="shared" si="32"/>
        <v>0.0240930813353017</v>
      </c>
      <c r="L306">
        <f t="shared" si="38"/>
        <v>1.64696536691693</v>
      </c>
      <c r="M306">
        <f t="shared" si="33"/>
        <v>15.0117439293598</v>
      </c>
      <c r="N306">
        <f t="shared" si="34"/>
        <v>2.4355206813797</v>
      </c>
      <c r="O306">
        <f t="shared" si="35"/>
        <v>9762</v>
      </c>
      <c r="P306">
        <f t="shared" si="36"/>
        <v>0.58941017925025</v>
      </c>
      <c r="Q306" t="str">
        <f t="shared" si="37"/>
        <v>2025-03</v>
      </c>
    </row>
    <row r="307" spans="1:17">
      <c r="A307" t="s">
        <v>324</v>
      </c>
      <c r="B307" s="10">
        <v>45769</v>
      </c>
      <c r="C307" t="s">
        <v>22</v>
      </c>
      <c r="D307" t="s">
        <v>15</v>
      </c>
      <c r="E307">
        <v>6052.89</v>
      </c>
      <c r="F307">
        <v>5377.02</v>
      </c>
      <c r="G307" s="6">
        <v>118229</v>
      </c>
      <c r="H307" s="6">
        <v>1135</v>
      </c>
      <c r="I307" s="6">
        <v>149</v>
      </c>
      <c r="J307">
        <v>7219.59</v>
      </c>
      <c r="K307">
        <f t="shared" si="32"/>
        <v>0.00960001353305872</v>
      </c>
      <c r="L307">
        <f t="shared" si="38"/>
        <v>4.73746255506608</v>
      </c>
      <c r="M307">
        <f t="shared" si="33"/>
        <v>36.0873825503356</v>
      </c>
      <c r="N307">
        <f t="shared" si="34"/>
        <v>1.34267493890668</v>
      </c>
      <c r="O307">
        <f t="shared" si="35"/>
        <v>1842.57</v>
      </c>
      <c r="P307">
        <f t="shared" si="36"/>
        <v>0.255218094102297</v>
      </c>
      <c r="Q307" t="str">
        <f t="shared" si="37"/>
        <v>2025-04</v>
      </c>
    </row>
    <row r="308" spans="1:17">
      <c r="A308" t="s">
        <v>325</v>
      </c>
      <c r="B308" s="10">
        <v>45756</v>
      </c>
      <c r="C308" t="s">
        <v>22</v>
      </c>
      <c r="D308" t="s">
        <v>12</v>
      </c>
      <c r="E308">
        <v>8345.24</v>
      </c>
      <c r="F308">
        <v>7026.98</v>
      </c>
      <c r="G308" s="6">
        <v>93966</v>
      </c>
      <c r="H308" s="6">
        <v>2601</v>
      </c>
      <c r="I308" s="6">
        <v>324</v>
      </c>
      <c r="J308">
        <v>14921.51</v>
      </c>
      <c r="K308">
        <f t="shared" si="32"/>
        <v>0.027680224762148</v>
      </c>
      <c r="L308">
        <f t="shared" si="38"/>
        <v>2.70164552095348</v>
      </c>
      <c r="M308">
        <f t="shared" si="33"/>
        <v>21.6882098765432</v>
      </c>
      <c r="N308">
        <f t="shared" si="34"/>
        <v>2.12345986469294</v>
      </c>
      <c r="O308">
        <f t="shared" si="35"/>
        <v>7894.53</v>
      </c>
      <c r="P308">
        <f t="shared" si="36"/>
        <v>0.529070449304394</v>
      </c>
      <c r="Q308" t="str">
        <f t="shared" si="37"/>
        <v>2025-04</v>
      </c>
    </row>
    <row r="309" spans="1:17">
      <c r="A309" t="s">
        <v>326</v>
      </c>
      <c r="B309" s="10">
        <v>45714</v>
      </c>
      <c r="C309" t="s">
        <v>22</v>
      </c>
      <c r="D309" t="s">
        <v>12</v>
      </c>
      <c r="E309">
        <v>6412.02</v>
      </c>
      <c r="F309">
        <v>6850.38</v>
      </c>
      <c r="G309" s="6">
        <v>180247</v>
      </c>
      <c r="H309" s="6">
        <v>6040</v>
      </c>
      <c r="I309" s="6">
        <v>1020</v>
      </c>
      <c r="J309">
        <v>44875.57</v>
      </c>
      <c r="K309">
        <f t="shared" si="32"/>
        <v>0.0335095729748623</v>
      </c>
      <c r="L309">
        <f t="shared" si="38"/>
        <v>1.13416887417219</v>
      </c>
      <c r="M309">
        <f t="shared" si="33"/>
        <v>6.71605882352941</v>
      </c>
      <c r="N309">
        <f t="shared" si="34"/>
        <v>6.55081469933055</v>
      </c>
      <c r="O309">
        <f t="shared" si="35"/>
        <v>38025.19</v>
      </c>
      <c r="P309">
        <f t="shared" si="36"/>
        <v>0.847347231466921</v>
      </c>
      <c r="Q309" t="str">
        <f t="shared" si="37"/>
        <v>2025-02</v>
      </c>
    </row>
    <row r="310" spans="1:17">
      <c r="A310" t="s">
        <v>327</v>
      </c>
      <c r="B310" s="10">
        <v>45743</v>
      </c>
      <c r="C310" t="s">
        <v>11</v>
      </c>
      <c r="D310" t="s">
        <v>12</v>
      </c>
      <c r="E310">
        <v>5976.49</v>
      </c>
      <c r="F310">
        <v>4821.48</v>
      </c>
      <c r="G310" s="6">
        <v>80643</v>
      </c>
      <c r="H310" s="6">
        <v>2915</v>
      </c>
      <c r="I310" s="6">
        <v>337</v>
      </c>
      <c r="J310">
        <v>9456.33</v>
      </c>
      <c r="K310">
        <f t="shared" si="32"/>
        <v>0.0361469687387622</v>
      </c>
      <c r="L310">
        <f t="shared" si="38"/>
        <v>1.65402401372213</v>
      </c>
      <c r="M310">
        <f t="shared" si="33"/>
        <v>14.3070623145401</v>
      </c>
      <c r="N310">
        <f t="shared" si="34"/>
        <v>1.96129196844123</v>
      </c>
      <c r="O310">
        <f t="shared" si="35"/>
        <v>4634.85</v>
      </c>
      <c r="P310">
        <f t="shared" si="36"/>
        <v>0.490132006814483</v>
      </c>
      <c r="Q310" t="str">
        <f t="shared" si="37"/>
        <v>2025-03</v>
      </c>
    </row>
    <row r="311" spans="1:17">
      <c r="A311" t="s">
        <v>328</v>
      </c>
      <c r="B311" s="10">
        <v>45810</v>
      </c>
      <c r="C311" t="s">
        <v>22</v>
      </c>
      <c r="D311" t="s">
        <v>17</v>
      </c>
      <c r="E311">
        <v>6791.44</v>
      </c>
      <c r="F311">
        <v>6723.82</v>
      </c>
      <c r="G311" s="6">
        <v>175493</v>
      </c>
      <c r="H311" s="6">
        <v>7200</v>
      </c>
      <c r="I311" s="6">
        <v>476</v>
      </c>
      <c r="J311">
        <v>13202.64</v>
      </c>
      <c r="K311">
        <f t="shared" si="32"/>
        <v>0.0410272774412655</v>
      </c>
      <c r="L311">
        <f t="shared" si="38"/>
        <v>0.933863888888889</v>
      </c>
      <c r="M311">
        <f t="shared" si="33"/>
        <v>14.1256722689076</v>
      </c>
      <c r="N311">
        <f t="shared" si="34"/>
        <v>1.96356237971867</v>
      </c>
      <c r="O311">
        <f t="shared" si="35"/>
        <v>6478.82</v>
      </c>
      <c r="P311">
        <f t="shared" si="36"/>
        <v>0.490721552659165</v>
      </c>
      <c r="Q311" t="str">
        <f t="shared" si="37"/>
        <v>2025-06</v>
      </c>
    </row>
    <row r="312" spans="1:17">
      <c r="A312" t="s">
        <v>329</v>
      </c>
      <c r="B312" s="10">
        <v>45790</v>
      </c>
      <c r="C312" t="s">
        <v>19</v>
      </c>
      <c r="D312" t="s">
        <v>17</v>
      </c>
      <c r="E312">
        <v>3975.49</v>
      </c>
      <c r="F312">
        <v>4176.17</v>
      </c>
      <c r="G312" s="6">
        <v>125145</v>
      </c>
      <c r="H312" s="6">
        <v>1135</v>
      </c>
      <c r="I312" s="6">
        <v>91</v>
      </c>
      <c r="J312">
        <v>4507.42</v>
      </c>
      <c r="K312">
        <f t="shared" si="32"/>
        <v>0.00906947940389149</v>
      </c>
      <c r="L312">
        <f t="shared" si="38"/>
        <v>3.6794449339207</v>
      </c>
      <c r="M312">
        <f t="shared" si="33"/>
        <v>45.891978021978</v>
      </c>
      <c r="N312">
        <f t="shared" si="34"/>
        <v>1.07931908902176</v>
      </c>
      <c r="O312">
        <f t="shared" si="35"/>
        <v>331.25</v>
      </c>
      <c r="P312">
        <f t="shared" si="36"/>
        <v>0.0734899343748752</v>
      </c>
      <c r="Q312" t="str">
        <f t="shared" si="37"/>
        <v>2025-05</v>
      </c>
    </row>
    <row r="313" spans="1:17">
      <c r="A313" t="s">
        <v>330</v>
      </c>
      <c r="B313" s="10">
        <v>45767</v>
      </c>
      <c r="C313" t="s">
        <v>24</v>
      </c>
      <c r="D313" t="s">
        <v>20</v>
      </c>
      <c r="E313">
        <v>6679.83</v>
      </c>
      <c r="F313">
        <v>5687.9</v>
      </c>
      <c r="G313" s="6">
        <v>197509</v>
      </c>
      <c r="H313" s="6">
        <v>8448</v>
      </c>
      <c r="I313" s="6">
        <v>669</v>
      </c>
      <c r="J313">
        <v>18845.21</v>
      </c>
      <c r="K313">
        <f t="shared" si="32"/>
        <v>0.0427727344070397</v>
      </c>
      <c r="L313">
        <f t="shared" si="38"/>
        <v>0.673283617424242</v>
      </c>
      <c r="M313">
        <f t="shared" si="33"/>
        <v>8.50209267563528</v>
      </c>
      <c r="N313">
        <f t="shared" si="34"/>
        <v>3.31321049948135</v>
      </c>
      <c r="O313">
        <f t="shared" si="35"/>
        <v>13157.31</v>
      </c>
      <c r="P313">
        <f t="shared" si="36"/>
        <v>0.698177945483229</v>
      </c>
      <c r="Q313" t="str">
        <f t="shared" si="37"/>
        <v>2025-04</v>
      </c>
    </row>
    <row r="314" spans="1:17">
      <c r="A314" t="s">
        <v>331</v>
      </c>
      <c r="B314" s="10">
        <v>45769</v>
      </c>
      <c r="C314" t="s">
        <v>19</v>
      </c>
      <c r="D314" t="s">
        <v>17</v>
      </c>
      <c r="E314">
        <v>3128.73</v>
      </c>
      <c r="F314">
        <v>3361.16</v>
      </c>
      <c r="G314" s="6">
        <v>158254</v>
      </c>
      <c r="H314" s="6">
        <v>1254</v>
      </c>
      <c r="I314" s="6">
        <v>110</v>
      </c>
      <c r="J314">
        <v>2588.58</v>
      </c>
      <c r="K314">
        <f t="shared" si="32"/>
        <v>0.00792397032618449</v>
      </c>
      <c r="L314">
        <f t="shared" si="38"/>
        <v>2.68035087719298</v>
      </c>
      <c r="M314">
        <f t="shared" si="33"/>
        <v>30.556</v>
      </c>
      <c r="N314">
        <f t="shared" si="34"/>
        <v>0.770144830951219</v>
      </c>
      <c r="O314">
        <f t="shared" si="35"/>
        <v>-772.58</v>
      </c>
      <c r="P314">
        <f t="shared" si="36"/>
        <v>-0.298457069126703</v>
      </c>
      <c r="Q314" t="str">
        <f t="shared" si="37"/>
        <v>2025-04</v>
      </c>
    </row>
    <row r="315" spans="1:17">
      <c r="A315" t="s">
        <v>332</v>
      </c>
      <c r="B315" s="10">
        <v>45685</v>
      </c>
      <c r="C315" t="s">
        <v>24</v>
      </c>
      <c r="D315" t="s">
        <v>17</v>
      </c>
      <c r="E315">
        <v>7035.62</v>
      </c>
      <c r="F315">
        <v>6206.94</v>
      </c>
      <c r="G315" s="6">
        <v>50360</v>
      </c>
      <c r="H315" s="6">
        <v>1689</v>
      </c>
      <c r="I315" s="6">
        <v>308</v>
      </c>
      <c r="J315">
        <v>11280.6</v>
      </c>
      <c r="K315">
        <f t="shared" si="32"/>
        <v>0.0335385226370135</v>
      </c>
      <c r="L315">
        <f t="shared" si="38"/>
        <v>3.67492007104796</v>
      </c>
      <c r="M315">
        <f t="shared" si="33"/>
        <v>20.1524025974026</v>
      </c>
      <c r="N315">
        <f t="shared" si="34"/>
        <v>1.81741727807905</v>
      </c>
      <c r="O315">
        <f t="shared" si="35"/>
        <v>5073.66</v>
      </c>
      <c r="P315">
        <f t="shared" si="36"/>
        <v>0.449768629328227</v>
      </c>
      <c r="Q315" t="str">
        <f t="shared" si="37"/>
        <v>2025-01</v>
      </c>
    </row>
    <row r="316" spans="1:17">
      <c r="A316" t="s">
        <v>333</v>
      </c>
      <c r="B316" s="10">
        <v>45783</v>
      </c>
      <c r="C316" t="s">
        <v>19</v>
      </c>
      <c r="D316" t="s">
        <v>12</v>
      </c>
      <c r="E316">
        <v>7559.94</v>
      </c>
      <c r="F316">
        <v>7929.79</v>
      </c>
      <c r="G316" s="6">
        <v>98472</v>
      </c>
      <c r="H316" s="6">
        <v>4803</v>
      </c>
      <c r="I316" s="6">
        <v>235</v>
      </c>
      <c r="J316">
        <v>6155.27</v>
      </c>
      <c r="K316">
        <f t="shared" si="32"/>
        <v>0.0487752863758226</v>
      </c>
      <c r="L316">
        <f t="shared" si="38"/>
        <v>1.65100770351863</v>
      </c>
      <c r="M316">
        <f t="shared" si="33"/>
        <v>33.7437872340425</v>
      </c>
      <c r="N316">
        <f t="shared" si="34"/>
        <v>0.776221060078514</v>
      </c>
      <c r="O316">
        <f t="shared" si="35"/>
        <v>-1774.52</v>
      </c>
      <c r="P316">
        <f t="shared" si="36"/>
        <v>-0.288292796254267</v>
      </c>
      <c r="Q316" t="str">
        <f t="shared" si="37"/>
        <v>2025-05</v>
      </c>
    </row>
    <row r="317" spans="1:17">
      <c r="A317" t="s">
        <v>334</v>
      </c>
      <c r="B317" s="10">
        <v>45755</v>
      </c>
      <c r="C317" t="s">
        <v>14</v>
      </c>
      <c r="D317" t="s">
        <v>15</v>
      </c>
      <c r="E317">
        <v>3076.97</v>
      </c>
      <c r="F317">
        <v>2587.93</v>
      </c>
      <c r="G317" s="6">
        <v>154581</v>
      </c>
      <c r="H317" s="6">
        <v>6093</v>
      </c>
      <c r="I317" s="6">
        <v>236</v>
      </c>
      <c r="J317">
        <v>11092.13</v>
      </c>
      <c r="K317">
        <f t="shared" si="32"/>
        <v>0.0394162283851185</v>
      </c>
      <c r="L317">
        <f t="shared" si="38"/>
        <v>0.424738224191695</v>
      </c>
      <c r="M317">
        <f t="shared" si="33"/>
        <v>10.9658050847458</v>
      </c>
      <c r="N317">
        <f t="shared" si="34"/>
        <v>4.28610124694254</v>
      </c>
      <c r="O317">
        <f t="shared" si="35"/>
        <v>8504.2</v>
      </c>
      <c r="P317">
        <f t="shared" si="36"/>
        <v>0.766687732653692</v>
      </c>
      <c r="Q317" t="str">
        <f t="shared" si="37"/>
        <v>2025-04</v>
      </c>
    </row>
    <row r="318" spans="1:17">
      <c r="A318" t="s">
        <v>335</v>
      </c>
      <c r="B318" s="10">
        <v>45686</v>
      </c>
      <c r="C318" t="s">
        <v>22</v>
      </c>
      <c r="D318" t="s">
        <v>15</v>
      </c>
      <c r="E318">
        <v>9117.23</v>
      </c>
      <c r="F318">
        <v>8927.81</v>
      </c>
      <c r="G318" s="6">
        <v>68618</v>
      </c>
      <c r="H318" s="6">
        <v>3036</v>
      </c>
      <c r="I318" s="6">
        <v>196</v>
      </c>
      <c r="J318">
        <v>7451.04</v>
      </c>
      <c r="K318">
        <f t="shared" si="32"/>
        <v>0.0442449503045848</v>
      </c>
      <c r="L318">
        <f t="shared" si="38"/>
        <v>2.9406488801054</v>
      </c>
      <c r="M318">
        <f t="shared" si="33"/>
        <v>45.5500510204082</v>
      </c>
      <c r="N318">
        <f t="shared" si="34"/>
        <v>0.834587653635102</v>
      </c>
      <c r="O318">
        <f t="shared" si="35"/>
        <v>-1476.77</v>
      </c>
      <c r="P318">
        <f t="shared" si="36"/>
        <v>-0.198196493375421</v>
      </c>
      <c r="Q318" t="str">
        <f t="shared" si="37"/>
        <v>2025-01</v>
      </c>
    </row>
    <row r="319" spans="1:17">
      <c r="A319" t="s">
        <v>336</v>
      </c>
      <c r="B319" s="10">
        <v>45663</v>
      </c>
      <c r="C319" t="s">
        <v>24</v>
      </c>
      <c r="D319" t="s">
        <v>15</v>
      </c>
      <c r="E319">
        <v>7655.26</v>
      </c>
      <c r="F319">
        <v>6526.96</v>
      </c>
      <c r="G319" s="6">
        <v>95395</v>
      </c>
      <c r="H319" s="6">
        <v>4443</v>
      </c>
      <c r="I319" s="6">
        <v>353</v>
      </c>
      <c r="J319">
        <v>16743.62</v>
      </c>
      <c r="K319">
        <f t="shared" si="32"/>
        <v>0.0465747680696053</v>
      </c>
      <c r="L319">
        <f t="shared" si="38"/>
        <v>1.46904343911771</v>
      </c>
      <c r="M319">
        <f t="shared" si="33"/>
        <v>18.4899716713881</v>
      </c>
      <c r="N319">
        <f t="shared" si="34"/>
        <v>2.56530145734002</v>
      </c>
      <c r="O319">
        <f t="shared" si="35"/>
        <v>10216.66</v>
      </c>
      <c r="P319">
        <f t="shared" si="36"/>
        <v>0.610182266439396</v>
      </c>
      <c r="Q319" t="str">
        <f t="shared" si="37"/>
        <v>2025-01</v>
      </c>
    </row>
    <row r="320" spans="1:17">
      <c r="A320" t="s">
        <v>337</v>
      </c>
      <c r="B320" s="10">
        <v>45685</v>
      </c>
      <c r="C320" t="s">
        <v>22</v>
      </c>
      <c r="D320" t="s">
        <v>12</v>
      </c>
      <c r="E320">
        <v>5931.39</v>
      </c>
      <c r="F320">
        <v>5426.88</v>
      </c>
      <c r="G320" s="6">
        <v>87162</v>
      </c>
      <c r="H320" s="6">
        <v>1775</v>
      </c>
      <c r="I320" s="6">
        <v>84</v>
      </c>
      <c r="J320">
        <v>2987.67</v>
      </c>
      <c r="K320">
        <f t="shared" si="32"/>
        <v>0.020364378972488</v>
      </c>
      <c r="L320">
        <f t="shared" si="38"/>
        <v>3.05739718309859</v>
      </c>
      <c r="M320">
        <f t="shared" si="33"/>
        <v>64.6057142857143</v>
      </c>
      <c r="N320">
        <f t="shared" si="34"/>
        <v>0.550531797275783</v>
      </c>
      <c r="O320">
        <f t="shared" si="35"/>
        <v>-2439.21</v>
      </c>
      <c r="P320">
        <f t="shared" si="36"/>
        <v>-0.816425508841338</v>
      </c>
      <c r="Q320" t="str">
        <f t="shared" si="37"/>
        <v>2025-01</v>
      </c>
    </row>
    <row r="321" spans="1:17">
      <c r="A321" t="s">
        <v>338</v>
      </c>
      <c r="B321" s="10">
        <v>45754</v>
      </c>
      <c r="C321" t="s">
        <v>24</v>
      </c>
      <c r="D321" t="s">
        <v>20</v>
      </c>
      <c r="E321">
        <v>3328.76</v>
      </c>
      <c r="F321">
        <v>2829.06</v>
      </c>
      <c r="G321" s="6">
        <v>54764</v>
      </c>
      <c r="H321" s="6">
        <v>1698</v>
      </c>
      <c r="I321" s="6">
        <v>278</v>
      </c>
      <c r="J321">
        <v>11715.2</v>
      </c>
      <c r="K321">
        <f t="shared" si="32"/>
        <v>0.0310057702140092</v>
      </c>
      <c r="L321">
        <f t="shared" si="38"/>
        <v>1.66611307420495</v>
      </c>
      <c r="M321">
        <f t="shared" si="33"/>
        <v>10.1764748201439</v>
      </c>
      <c r="N321">
        <f t="shared" si="34"/>
        <v>4.14102210628265</v>
      </c>
      <c r="O321">
        <f t="shared" si="35"/>
        <v>8886.14</v>
      </c>
      <c r="P321">
        <f t="shared" si="36"/>
        <v>0.75851372575799</v>
      </c>
      <c r="Q321" t="str">
        <f t="shared" si="37"/>
        <v>2025-04</v>
      </c>
    </row>
    <row r="322" spans="1:17">
      <c r="A322" t="s">
        <v>339</v>
      </c>
      <c r="B322" s="10">
        <v>45800</v>
      </c>
      <c r="C322" t="s">
        <v>14</v>
      </c>
      <c r="D322" t="s">
        <v>20</v>
      </c>
      <c r="E322">
        <v>3579.59</v>
      </c>
      <c r="F322">
        <v>3511.38</v>
      </c>
      <c r="G322" s="6">
        <v>141976</v>
      </c>
      <c r="H322" s="6">
        <v>6294</v>
      </c>
      <c r="I322" s="6">
        <v>311</v>
      </c>
      <c r="J322">
        <v>8509.11</v>
      </c>
      <c r="K322">
        <f t="shared" si="32"/>
        <v>0.0443314362990928</v>
      </c>
      <c r="L322">
        <f t="shared" si="38"/>
        <v>0.55789323164919</v>
      </c>
      <c r="M322">
        <f t="shared" si="33"/>
        <v>11.2906109324759</v>
      </c>
      <c r="N322">
        <f t="shared" si="34"/>
        <v>2.42329511474121</v>
      </c>
      <c r="O322">
        <f t="shared" si="35"/>
        <v>4997.73</v>
      </c>
      <c r="P322">
        <f t="shared" si="36"/>
        <v>0.587338746355377</v>
      </c>
      <c r="Q322" t="str">
        <f t="shared" si="37"/>
        <v>2025-05</v>
      </c>
    </row>
    <row r="323" spans="1:17">
      <c r="A323" t="s">
        <v>340</v>
      </c>
      <c r="B323" s="10">
        <v>45757</v>
      </c>
      <c r="C323" t="s">
        <v>14</v>
      </c>
      <c r="D323" t="s">
        <v>17</v>
      </c>
      <c r="E323">
        <v>5725.07</v>
      </c>
      <c r="F323">
        <v>5075.89</v>
      </c>
      <c r="G323" s="6">
        <v>85169</v>
      </c>
      <c r="H323" s="6">
        <v>1524</v>
      </c>
      <c r="I323" s="6">
        <v>66</v>
      </c>
      <c r="J323">
        <v>2024.23</v>
      </c>
      <c r="K323">
        <f t="shared" ref="K323:K386" si="39">H323/G323</f>
        <v>0.0178938346111848</v>
      </c>
      <c r="L323">
        <f t="shared" si="38"/>
        <v>3.33063648293963</v>
      </c>
      <c r="M323">
        <f t="shared" ref="M323:M386" si="40">F323/I323</f>
        <v>76.9074242424242</v>
      </c>
      <c r="N323">
        <f t="shared" ref="N323:N386" si="41">J323/F323</f>
        <v>0.398793118054174</v>
      </c>
      <c r="O323">
        <f t="shared" ref="O323:O386" si="42">J323-F323</f>
        <v>-3051.66</v>
      </c>
      <c r="P323">
        <f t="shared" ref="P323:P386" si="43">O323/J323</f>
        <v>-1.50756583985021</v>
      </c>
      <c r="Q323" t="str">
        <f t="shared" ref="Q323:Q386" si="44">TEXT(B323,"yyyy-mm")</f>
        <v>2025-04</v>
      </c>
    </row>
    <row r="324" spans="1:17">
      <c r="A324" t="s">
        <v>341</v>
      </c>
      <c r="B324" s="10">
        <v>45760</v>
      </c>
      <c r="C324" t="s">
        <v>24</v>
      </c>
      <c r="D324" t="s">
        <v>20</v>
      </c>
      <c r="E324">
        <v>8033.32</v>
      </c>
      <c r="F324">
        <v>7142.72</v>
      </c>
      <c r="G324" s="6">
        <v>75206</v>
      </c>
      <c r="H324" s="6">
        <v>1081</v>
      </c>
      <c r="I324" s="6">
        <v>182</v>
      </c>
      <c r="J324">
        <v>6732.57</v>
      </c>
      <c r="K324">
        <f t="shared" si="39"/>
        <v>0.0143738531500146</v>
      </c>
      <c r="L324">
        <f t="shared" si="38"/>
        <v>6.60751156336725</v>
      </c>
      <c r="M324">
        <f t="shared" si="40"/>
        <v>39.2457142857143</v>
      </c>
      <c r="N324">
        <f t="shared" si="41"/>
        <v>0.942577897495632</v>
      </c>
      <c r="O324">
        <f t="shared" si="42"/>
        <v>-410.150000000001</v>
      </c>
      <c r="P324">
        <f t="shared" si="43"/>
        <v>-0.0609202726447702</v>
      </c>
      <c r="Q324" t="str">
        <f t="shared" si="44"/>
        <v>2025-04</v>
      </c>
    </row>
    <row r="325" spans="1:17">
      <c r="A325" t="s">
        <v>342</v>
      </c>
      <c r="B325" s="10">
        <v>45688</v>
      </c>
      <c r="C325" t="s">
        <v>14</v>
      </c>
      <c r="D325" t="s">
        <v>20</v>
      </c>
      <c r="E325">
        <v>6332.35</v>
      </c>
      <c r="F325">
        <v>6326.66</v>
      </c>
      <c r="G325" s="6">
        <v>185576</v>
      </c>
      <c r="H325" s="6">
        <v>8158</v>
      </c>
      <c r="I325" s="6">
        <v>162</v>
      </c>
      <c r="J325">
        <v>7792.99</v>
      </c>
      <c r="K325">
        <f t="shared" si="39"/>
        <v>0.0439604259171445</v>
      </c>
      <c r="L325">
        <f t="shared" ref="L325:L388" si="45">F325/H325</f>
        <v>0.775516057857318</v>
      </c>
      <c r="M325">
        <f t="shared" si="40"/>
        <v>39.0534567901235</v>
      </c>
      <c r="N325">
        <f t="shared" si="41"/>
        <v>1.23177000186512</v>
      </c>
      <c r="O325">
        <f t="shared" si="42"/>
        <v>1466.33</v>
      </c>
      <c r="P325">
        <f t="shared" si="43"/>
        <v>0.188160128525765</v>
      </c>
      <c r="Q325" t="str">
        <f t="shared" si="44"/>
        <v>2025-01</v>
      </c>
    </row>
    <row r="326" spans="1:17">
      <c r="A326" t="s">
        <v>343</v>
      </c>
      <c r="B326" s="10">
        <v>45647</v>
      </c>
      <c r="C326" t="s">
        <v>14</v>
      </c>
      <c r="D326" t="s">
        <v>17</v>
      </c>
      <c r="E326">
        <v>8128</v>
      </c>
      <c r="F326">
        <v>7026.51</v>
      </c>
      <c r="G326" s="6">
        <v>156872</v>
      </c>
      <c r="H326" s="6">
        <v>6177</v>
      </c>
      <c r="I326" s="6">
        <v>381</v>
      </c>
      <c r="J326">
        <v>7976.42</v>
      </c>
      <c r="K326">
        <f t="shared" si="39"/>
        <v>0.039376051812943</v>
      </c>
      <c r="L326">
        <f t="shared" si="45"/>
        <v>1.13752792617776</v>
      </c>
      <c r="M326">
        <f t="shared" si="40"/>
        <v>18.4422834645669</v>
      </c>
      <c r="N326">
        <f t="shared" si="41"/>
        <v>1.13518944682353</v>
      </c>
      <c r="O326">
        <f t="shared" si="42"/>
        <v>949.91</v>
      </c>
      <c r="P326">
        <f t="shared" si="43"/>
        <v>0.119089767088493</v>
      </c>
      <c r="Q326" t="str">
        <f t="shared" si="44"/>
        <v>2024-12</v>
      </c>
    </row>
    <row r="327" spans="1:17">
      <c r="A327" t="s">
        <v>344</v>
      </c>
      <c r="B327" s="10">
        <v>45747</v>
      </c>
      <c r="C327" t="s">
        <v>19</v>
      </c>
      <c r="D327" t="s">
        <v>15</v>
      </c>
      <c r="E327">
        <v>4835.85</v>
      </c>
      <c r="F327">
        <v>4731.99</v>
      </c>
      <c r="G327" s="6">
        <v>115212</v>
      </c>
      <c r="H327" s="6">
        <v>2331</v>
      </c>
      <c r="I327" s="6">
        <v>196</v>
      </c>
      <c r="J327">
        <v>4222.38</v>
      </c>
      <c r="K327">
        <f t="shared" si="39"/>
        <v>0.0202322674721383</v>
      </c>
      <c r="L327">
        <f t="shared" si="45"/>
        <v>2.03002574002574</v>
      </c>
      <c r="M327">
        <f t="shared" si="40"/>
        <v>24.142806122449</v>
      </c>
      <c r="N327">
        <f t="shared" si="41"/>
        <v>0.892305351448334</v>
      </c>
      <c r="O327">
        <f t="shared" si="42"/>
        <v>-509.61</v>
      </c>
      <c r="P327">
        <f t="shared" si="43"/>
        <v>-0.120692595171444</v>
      </c>
      <c r="Q327" t="str">
        <f t="shared" si="44"/>
        <v>2025-03</v>
      </c>
    </row>
    <row r="328" spans="1:17">
      <c r="A328" t="s">
        <v>345</v>
      </c>
      <c r="B328" s="10">
        <v>45711</v>
      </c>
      <c r="C328" t="s">
        <v>11</v>
      </c>
      <c r="D328" t="s">
        <v>20</v>
      </c>
      <c r="E328">
        <v>6474.56</v>
      </c>
      <c r="F328">
        <v>6338.94</v>
      </c>
      <c r="G328" s="6">
        <v>106540</v>
      </c>
      <c r="H328" s="6">
        <v>3157</v>
      </c>
      <c r="I328" s="6">
        <v>459</v>
      </c>
      <c r="J328">
        <v>13782.54</v>
      </c>
      <c r="K328">
        <f t="shared" si="39"/>
        <v>0.0296320630749014</v>
      </c>
      <c r="L328">
        <f t="shared" si="45"/>
        <v>2.00789990497308</v>
      </c>
      <c r="M328">
        <f t="shared" si="40"/>
        <v>13.8103267973856</v>
      </c>
      <c r="N328">
        <f t="shared" si="41"/>
        <v>2.17426572897046</v>
      </c>
      <c r="O328">
        <f t="shared" si="42"/>
        <v>7443.6</v>
      </c>
      <c r="P328">
        <f t="shared" si="43"/>
        <v>0.540074616144775</v>
      </c>
      <c r="Q328" t="str">
        <f t="shared" si="44"/>
        <v>2025-02</v>
      </c>
    </row>
    <row r="329" spans="1:17">
      <c r="A329" t="s">
        <v>346</v>
      </c>
      <c r="B329" s="10">
        <v>45640</v>
      </c>
      <c r="C329" t="s">
        <v>14</v>
      </c>
      <c r="D329" t="s">
        <v>15</v>
      </c>
      <c r="E329">
        <v>8396.39</v>
      </c>
      <c r="F329">
        <v>6985.62</v>
      </c>
      <c r="G329" s="6">
        <v>110667</v>
      </c>
      <c r="H329" s="6">
        <v>2560</v>
      </c>
      <c r="I329" s="6">
        <v>409</v>
      </c>
      <c r="J329">
        <v>9101.94</v>
      </c>
      <c r="K329">
        <f t="shared" si="39"/>
        <v>0.0231324604443963</v>
      </c>
      <c r="L329">
        <f t="shared" si="45"/>
        <v>2.7287578125</v>
      </c>
      <c r="M329">
        <f t="shared" si="40"/>
        <v>17.0797555012225</v>
      </c>
      <c r="N329">
        <f t="shared" si="41"/>
        <v>1.30295378219829</v>
      </c>
      <c r="O329">
        <f t="shared" si="42"/>
        <v>2116.32</v>
      </c>
      <c r="P329">
        <f t="shared" si="43"/>
        <v>0.232513068642509</v>
      </c>
      <c r="Q329" t="str">
        <f t="shared" si="44"/>
        <v>2024-12</v>
      </c>
    </row>
    <row r="330" spans="1:17">
      <c r="A330" t="s">
        <v>347</v>
      </c>
      <c r="B330" s="10">
        <v>45798</v>
      </c>
      <c r="C330" t="s">
        <v>22</v>
      </c>
      <c r="D330" t="s">
        <v>17</v>
      </c>
      <c r="E330">
        <v>8097.32</v>
      </c>
      <c r="F330">
        <v>7681.5</v>
      </c>
      <c r="G330" s="6">
        <v>76558</v>
      </c>
      <c r="H330" s="6">
        <v>2247</v>
      </c>
      <c r="I330" s="6">
        <v>275</v>
      </c>
      <c r="J330">
        <v>11179.32</v>
      </c>
      <c r="K330">
        <f t="shared" si="39"/>
        <v>0.0293502965072233</v>
      </c>
      <c r="L330">
        <f t="shared" si="45"/>
        <v>3.41855807743658</v>
      </c>
      <c r="M330">
        <f t="shared" si="40"/>
        <v>27.9327272727273</v>
      </c>
      <c r="N330">
        <f t="shared" si="41"/>
        <v>1.45535637570787</v>
      </c>
      <c r="O330">
        <f t="shared" si="42"/>
        <v>3497.82</v>
      </c>
      <c r="P330">
        <f t="shared" si="43"/>
        <v>0.312883073389079</v>
      </c>
      <c r="Q330" t="str">
        <f t="shared" si="44"/>
        <v>2025-05</v>
      </c>
    </row>
    <row r="331" spans="1:17">
      <c r="A331" t="s">
        <v>348</v>
      </c>
      <c r="B331" s="10">
        <v>45647</v>
      </c>
      <c r="C331" t="s">
        <v>14</v>
      </c>
      <c r="D331" t="s">
        <v>20</v>
      </c>
      <c r="E331">
        <v>6043.79</v>
      </c>
      <c r="F331">
        <v>5281.79</v>
      </c>
      <c r="G331" s="6">
        <v>83532</v>
      </c>
      <c r="H331" s="6">
        <v>3585</v>
      </c>
      <c r="I331" s="6">
        <v>478</v>
      </c>
      <c r="J331">
        <v>21305.93</v>
      </c>
      <c r="K331">
        <f t="shared" si="39"/>
        <v>0.04291768424077</v>
      </c>
      <c r="L331">
        <f t="shared" si="45"/>
        <v>1.47330264993027</v>
      </c>
      <c r="M331">
        <f t="shared" si="40"/>
        <v>11.049769874477</v>
      </c>
      <c r="N331">
        <f t="shared" si="41"/>
        <v>4.03384648007588</v>
      </c>
      <c r="O331">
        <f t="shared" si="42"/>
        <v>16024.14</v>
      </c>
      <c r="P331">
        <f t="shared" si="43"/>
        <v>0.752097655441466</v>
      </c>
      <c r="Q331" t="str">
        <f t="shared" si="44"/>
        <v>2024-12</v>
      </c>
    </row>
    <row r="332" spans="1:17">
      <c r="A332" t="s">
        <v>349</v>
      </c>
      <c r="B332" s="10">
        <v>45695</v>
      </c>
      <c r="C332" t="s">
        <v>11</v>
      </c>
      <c r="D332" t="s">
        <v>15</v>
      </c>
      <c r="E332">
        <v>8595.91</v>
      </c>
      <c r="F332">
        <v>8668.19</v>
      </c>
      <c r="G332" s="6">
        <v>149998</v>
      </c>
      <c r="H332" s="6">
        <v>5998</v>
      </c>
      <c r="I332" s="6">
        <v>629</v>
      </c>
      <c r="J332">
        <v>17715.38</v>
      </c>
      <c r="K332">
        <f t="shared" si="39"/>
        <v>0.0399871998293311</v>
      </c>
      <c r="L332">
        <f t="shared" si="45"/>
        <v>1.44518006002001</v>
      </c>
      <c r="M332">
        <f t="shared" si="40"/>
        <v>13.780906200318</v>
      </c>
      <c r="N332">
        <f t="shared" si="41"/>
        <v>2.04372308405792</v>
      </c>
      <c r="O332">
        <f t="shared" si="42"/>
        <v>9047.19</v>
      </c>
      <c r="P332">
        <f t="shared" si="43"/>
        <v>0.510696919851564</v>
      </c>
      <c r="Q332" t="str">
        <f t="shared" si="44"/>
        <v>2025-02</v>
      </c>
    </row>
    <row r="333" spans="1:17">
      <c r="A333" t="s">
        <v>350</v>
      </c>
      <c r="B333" s="10">
        <v>45737</v>
      </c>
      <c r="C333" t="s">
        <v>14</v>
      </c>
      <c r="D333" t="s">
        <v>12</v>
      </c>
      <c r="E333">
        <v>7131.61</v>
      </c>
      <c r="F333">
        <v>6477.59</v>
      </c>
      <c r="G333" s="6">
        <v>171861</v>
      </c>
      <c r="H333" s="6">
        <v>2743</v>
      </c>
      <c r="I333" s="6">
        <v>78</v>
      </c>
      <c r="J333">
        <v>1774.3</v>
      </c>
      <c r="K333">
        <f t="shared" si="39"/>
        <v>0.0159605727884744</v>
      </c>
      <c r="L333">
        <f t="shared" si="45"/>
        <v>2.36149835946044</v>
      </c>
      <c r="M333">
        <f t="shared" si="40"/>
        <v>83.0460256410256</v>
      </c>
      <c r="N333">
        <f t="shared" si="41"/>
        <v>0.273913600582933</v>
      </c>
      <c r="O333">
        <f t="shared" si="42"/>
        <v>-4703.29</v>
      </c>
      <c r="P333">
        <f t="shared" si="43"/>
        <v>-2.65078622555374</v>
      </c>
      <c r="Q333" t="str">
        <f t="shared" si="44"/>
        <v>2025-03</v>
      </c>
    </row>
    <row r="334" spans="1:17">
      <c r="A334" t="s">
        <v>351</v>
      </c>
      <c r="B334" s="10">
        <v>45725</v>
      </c>
      <c r="C334" t="s">
        <v>14</v>
      </c>
      <c r="D334" t="s">
        <v>15</v>
      </c>
      <c r="E334">
        <v>9421.2</v>
      </c>
      <c r="F334">
        <v>7923.66</v>
      </c>
      <c r="G334" s="6">
        <v>111608</v>
      </c>
      <c r="H334" s="6">
        <v>4858</v>
      </c>
      <c r="I334" s="6">
        <v>347</v>
      </c>
      <c r="J334">
        <v>16831.97</v>
      </c>
      <c r="K334">
        <f t="shared" si="39"/>
        <v>0.0435273457099849</v>
      </c>
      <c r="L334">
        <f t="shared" si="45"/>
        <v>1.63105393165912</v>
      </c>
      <c r="M334">
        <f t="shared" si="40"/>
        <v>22.8347550432277</v>
      </c>
      <c r="N334">
        <f t="shared" si="41"/>
        <v>2.12426706850117</v>
      </c>
      <c r="O334">
        <f t="shared" si="42"/>
        <v>8908.31</v>
      </c>
      <c r="P334">
        <f t="shared" si="43"/>
        <v>0.52924939861466</v>
      </c>
      <c r="Q334" t="str">
        <f t="shared" si="44"/>
        <v>2025-03</v>
      </c>
    </row>
    <row r="335" spans="1:17">
      <c r="A335" t="s">
        <v>352</v>
      </c>
      <c r="B335" s="10">
        <v>45777</v>
      </c>
      <c r="C335" t="s">
        <v>14</v>
      </c>
      <c r="D335" t="s">
        <v>17</v>
      </c>
      <c r="E335">
        <v>6122.04</v>
      </c>
      <c r="F335">
        <v>5237.65</v>
      </c>
      <c r="G335" s="6">
        <v>115362</v>
      </c>
      <c r="H335" s="6">
        <v>2448</v>
      </c>
      <c r="I335" s="6">
        <v>149</v>
      </c>
      <c r="J335">
        <v>5402.3</v>
      </c>
      <c r="K335">
        <f t="shared" si="39"/>
        <v>0.0212201591511936</v>
      </c>
      <c r="L335">
        <f t="shared" si="45"/>
        <v>2.13956290849673</v>
      </c>
      <c r="M335">
        <f t="shared" si="40"/>
        <v>35.1520134228188</v>
      </c>
      <c r="N335">
        <f t="shared" si="41"/>
        <v>1.03143585386576</v>
      </c>
      <c r="O335">
        <f t="shared" si="42"/>
        <v>164.650000000001</v>
      </c>
      <c r="P335">
        <f t="shared" si="43"/>
        <v>0.0304777594728172</v>
      </c>
      <c r="Q335" t="str">
        <f t="shared" si="44"/>
        <v>2025-04</v>
      </c>
    </row>
    <row r="336" spans="1:17">
      <c r="A336" t="s">
        <v>353</v>
      </c>
      <c r="B336" s="10">
        <v>45794</v>
      </c>
      <c r="C336" t="s">
        <v>14</v>
      </c>
      <c r="D336" t="s">
        <v>15</v>
      </c>
      <c r="E336">
        <v>9110.62</v>
      </c>
      <c r="F336">
        <v>9289.8</v>
      </c>
      <c r="G336" s="6">
        <v>166037</v>
      </c>
      <c r="H336" s="6">
        <v>1929</v>
      </c>
      <c r="I336" s="6">
        <v>275</v>
      </c>
      <c r="J336">
        <v>12154.13</v>
      </c>
      <c r="K336">
        <f t="shared" si="39"/>
        <v>0.0116178923974777</v>
      </c>
      <c r="L336">
        <f t="shared" si="45"/>
        <v>4.81586314152411</v>
      </c>
      <c r="M336">
        <f t="shared" si="40"/>
        <v>33.7810909090909</v>
      </c>
      <c r="N336">
        <f t="shared" si="41"/>
        <v>1.30833064220974</v>
      </c>
      <c r="O336">
        <f t="shared" si="42"/>
        <v>2864.33</v>
      </c>
      <c r="P336">
        <f t="shared" si="43"/>
        <v>0.23566721764536</v>
      </c>
      <c r="Q336" t="str">
        <f t="shared" si="44"/>
        <v>2025-05</v>
      </c>
    </row>
    <row r="337" spans="1:17">
      <c r="A337" t="s">
        <v>354</v>
      </c>
      <c r="B337" s="10">
        <v>45793</v>
      </c>
      <c r="C337" t="s">
        <v>11</v>
      </c>
      <c r="D337" t="s">
        <v>17</v>
      </c>
      <c r="E337">
        <v>7611.48</v>
      </c>
      <c r="F337">
        <v>7669.96</v>
      </c>
      <c r="G337" s="6">
        <v>116079</v>
      </c>
      <c r="H337" s="6">
        <v>3243</v>
      </c>
      <c r="I337" s="6">
        <v>205</v>
      </c>
      <c r="J337">
        <v>9322.55</v>
      </c>
      <c r="K337">
        <f t="shared" si="39"/>
        <v>0.0279378698989481</v>
      </c>
      <c r="L337">
        <f t="shared" si="45"/>
        <v>2.36508171446192</v>
      </c>
      <c r="M337">
        <f t="shared" si="40"/>
        <v>37.4144390243902</v>
      </c>
      <c r="N337">
        <f t="shared" si="41"/>
        <v>1.21546266212601</v>
      </c>
      <c r="O337">
        <f t="shared" si="42"/>
        <v>1652.59</v>
      </c>
      <c r="P337">
        <f t="shared" si="43"/>
        <v>0.177268022161318</v>
      </c>
      <c r="Q337" t="str">
        <f t="shared" si="44"/>
        <v>2025-05</v>
      </c>
    </row>
    <row r="338" spans="1:17">
      <c r="A338" t="s">
        <v>355</v>
      </c>
      <c r="B338" s="10">
        <v>45685</v>
      </c>
      <c r="C338" t="s">
        <v>11</v>
      </c>
      <c r="D338" t="s">
        <v>20</v>
      </c>
      <c r="E338">
        <v>4747.68</v>
      </c>
      <c r="F338">
        <v>4495.23</v>
      </c>
      <c r="G338" s="6">
        <v>67946</v>
      </c>
      <c r="H338" s="6">
        <v>1270</v>
      </c>
      <c r="I338" s="6">
        <v>110</v>
      </c>
      <c r="J338">
        <v>2929.99</v>
      </c>
      <c r="K338">
        <f t="shared" si="39"/>
        <v>0.0186913136902835</v>
      </c>
      <c r="L338">
        <f t="shared" si="45"/>
        <v>3.53955118110236</v>
      </c>
      <c r="M338">
        <f t="shared" si="40"/>
        <v>40.8657272727273</v>
      </c>
      <c r="N338">
        <f t="shared" si="41"/>
        <v>0.651799796673363</v>
      </c>
      <c r="O338">
        <f t="shared" si="42"/>
        <v>-1565.24</v>
      </c>
      <c r="P338">
        <f t="shared" si="43"/>
        <v>-0.534213427349581</v>
      </c>
      <c r="Q338" t="str">
        <f t="shared" si="44"/>
        <v>2025-01</v>
      </c>
    </row>
    <row r="339" spans="1:17">
      <c r="A339" t="s">
        <v>356</v>
      </c>
      <c r="B339" s="10">
        <v>45637</v>
      </c>
      <c r="C339" t="s">
        <v>19</v>
      </c>
      <c r="D339" t="s">
        <v>12</v>
      </c>
      <c r="E339">
        <v>9913.68</v>
      </c>
      <c r="F339">
        <v>10738.67</v>
      </c>
      <c r="G339" s="6">
        <v>123947</v>
      </c>
      <c r="H339" s="6">
        <v>4068</v>
      </c>
      <c r="I339" s="6">
        <v>400</v>
      </c>
      <c r="J339">
        <v>8473.12</v>
      </c>
      <c r="K339">
        <f t="shared" si="39"/>
        <v>0.0328204797211711</v>
      </c>
      <c r="L339">
        <f t="shared" si="45"/>
        <v>2.63979105211406</v>
      </c>
      <c r="M339">
        <f t="shared" si="40"/>
        <v>26.846675</v>
      </c>
      <c r="N339">
        <f t="shared" si="41"/>
        <v>0.789028808967964</v>
      </c>
      <c r="O339">
        <f t="shared" si="42"/>
        <v>-2265.55</v>
      </c>
      <c r="P339">
        <f t="shared" si="43"/>
        <v>-0.267380846724701</v>
      </c>
      <c r="Q339" t="str">
        <f t="shared" si="44"/>
        <v>2024-12</v>
      </c>
    </row>
    <row r="340" spans="1:17">
      <c r="A340" t="s">
        <v>357</v>
      </c>
      <c r="B340" s="10">
        <v>45788</v>
      </c>
      <c r="C340" t="s">
        <v>24</v>
      </c>
      <c r="D340" t="s">
        <v>12</v>
      </c>
      <c r="E340">
        <v>7939.03</v>
      </c>
      <c r="F340">
        <v>8554.9</v>
      </c>
      <c r="G340" s="6">
        <v>68639</v>
      </c>
      <c r="H340" s="6">
        <v>3348</v>
      </c>
      <c r="I340" s="6">
        <v>275</v>
      </c>
      <c r="J340">
        <v>6989.75</v>
      </c>
      <c r="K340">
        <f t="shared" si="39"/>
        <v>0.0487769343958974</v>
      </c>
      <c r="L340">
        <f t="shared" si="45"/>
        <v>2.55522700119474</v>
      </c>
      <c r="M340">
        <f t="shared" si="40"/>
        <v>31.1087272727273</v>
      </c>
      <c r="N340">
        <f t="shared" si="41"/>
        <v>0.817046371085577</v>
      </c>
      <c r="O340">
        <f t="shared" si="42"/>
        <v>-1565.15</v>
      </c>
      <c r="P340">
        <f t="shared" si="43"/>
        <v>-0.22392074108516</v>
      </c>
      <c r="Q340" t="str">
        <f t="shared" si="44"/>
        <v>2025-05</v>
      </c>
    </row>
    <row r="341" spans="1:17">
      <c r="A341" t="s">
        <v>358</v>
      </c>
      <c r="B341" s="10">
        <v>45664</v>
      </c>
      <c r="C341" t="s">
        <v>22</v>
      </c>
      <c r="D341" t="s">
        <v>15</v>
      </c>
      <c r="E341">
        <v>6975.62</v>
      </c>
      <c r="F341">
        <v>7496.33</v>
      </c>
      <c r="G341" s="6">
        <v>158533</v>
      </c>
      <c r="H341" s="6">
        <v>6076</v>
      </c>
      <c r="I341" s="6">
        <v>478</v>
      </c>
      <c r="J341">
        <v>10046.79</v>
      </c>
      <c r="K341">
        <f t="shared" si="39"/>
        <v>0.0383264052279336</v>
      </c>
      <c r="L341">
        <f t="shared" si="45"/>
        <v>1.23376069782752</v>
      </c>
      <c r="M341">
        <f t="shared" si="40"/>
        <v>15.6826987447699</v>
      </c>
      <c r="N341">
        <f t="shared" si="41"/>
        <v>1.34022781814568</v>
      </c>
      <c r="O341">
        <f t="shared" si="42"/>
        <v>2550.46</v>
      </c>
      <c r="P341">
        <f t="shared" si="43"/>
        <v>0.253858197493926</v>
      </c>
      <c r="Q341" t="str">
        <f t="shared" si="44"/>
        <v>2025-01</v>
      </c>
    </row>
    <row r="342" spans="1:17">
      <c r="A342" t="s">
        <v>359</v>
      </c>
      <c r="B342" s="10">
        <v>45763</v>
      </c>
      <c r="C342" t="s">
        <v>14</v>
      </c>
      <c r="D342" t="s">
        <v>12</v>
      </c>
      <c r="E342">
        <v>7881.94</v>
      </c>
      <c r="F342">
        <v>7008.66</v>
      </c>
      <c r="G342" s="6">
        <v>74923</v>
      </c>
      <c r="H342" s="6">
        <v>3598</v>
      </c>
      <c r="I342" s="6">
        <v>369</v>
      </c>
      <c r="J342">
        <v>17613.07</v>
      </c>
      <c r="K342">
        <f t="shared" si="39"/>
        <v>0.0480226365735488</v>
      </c>
      <c r="L342">
        <f t="shared" si="45"/>
        <v>1.94793218454697</v>
      </c>
      <c r="M342">
        <f t="shared" si="40"/>
        <v>18.9936585365854</v>
      </c>
      <c r="N342">
        <f t="shared" si="41"/>
        <v>2.51304386287821</v>
      </c>
      <c r="O342">
        <f t="shared" si="42"/>
        <v>10604.41</v>
      </c>
      <c r="P342">
        <f t="shared" si="43"/>
        <v>0.602076185469086</v>
      </c>
      <c r="Q342" t="str">
        <f t="shared" si="44"/>
        <v>2025-04</v>
      </c>
    </row>
    <row r="343" spans="1:17">
      <c r="A343" t="s">
        <v>360</v>
      </c>
      <c r="B343" s="10">
        <v>45784</v>
      </c>
      <c r="C343" t="s">
        <v>22</v>
      </c>
      <c r="D343" t="s">
        <v>17</v>
      </c>
      <c r="E343">
        <v>9797.41</v>
      </c>
      <c r="F343">
        <v>10613.34</v>
      </c>
      <c r="G343" s="6">
        <v>196954</v>
      </c>
      <c r="H343" s="6">
        <v>4588</v>
      </c>
      <c r="I343" s="6">
        <v>657</v>
      </c>
      <c r="J343">
        <v>22486.76</v>
      </c>
      <c r="K343">
        <f t="shared" si="39"/>
        <v>0.023294779491658</v>
      </c>
      <c r="L343">
        <f t="shared" si="45"/>
        <v>2.31328247602441</v>
      </c>
      <c r="M343">
        <f t="shared" si="40"/>
        <v>16.1542465753425</v>
      </c>
      <c r="N343">
        <f t="shared" si="41"/>
        <v>2.1187260560766</v>
      </c>
      <c r="O343">
        <f t="shared" si="42"/>
        <v>11873.42</v>
      </c>
      <c r="P343">
        <f t="shared" si="43"/>
        <v>0.528018264970142</v>
      </c>
      <c r="Q343" t="str">
        <f t="shared" si="44"/>
        <v>2025-05</v>
      </c>
    </row>
    <row r="344" spans="1:17">
      <c r="A344" t="s">
        <v>361</v>
      </c>
      <c r="B344" s="10">
        <v>45735</v>
      </c>
      <c r="C344" t="s">
        <v>19</v>
      </c>
      <c r="D344" t="s">
        <v>15</v>
      </c>
      <c r="E344">
        <v>9034.3</v>
      </c>
      <c r="F344">
        <v>9516.41</v>
      </c>
      <c r="G344" s="6">
        <v>103912</v>
      </c>
      <c r="H344" s="6">
        <v>1528</v>
      </c>
      <c r="I344" s="6">
        <v>148</v>
      </c>
      <c r="J344">
        <v>4376.81</v>
      </c>
      <c r="K344">
        <f t="shared" si="39"/>
        <v>0.0147047501732235</v>
      </c>
      <c r="L344">
        <f t="shared" si="45"/>
        <v>6.22801701570681</v>
      </c>
      <c r="M344">
        <f t="shared" si="40"/>
        <v>64.3000675675676</v>
      </c>
      <c r="N344">
        <f t="shared" si="41"/>
        <v>0.459922386698345</v>
      </c>
      <c r="O344">
        <f t="shared" si="42"/>
        <v>-5139.6</v>
      </c>
      <c r="P344">
        <f t="shared" si="43"/>
        <v>-1.17427989791652</v>
      </c>
      <c r="Q344" t="str">
        <f t="shared" si="44"/>
        <v>2025-03</v>
      </c>
    </row>
    <row r="345" spans="1:17">
      <c r="A345" t="s">
        <v>362</v>
      </c>
      <c r="B345" s="10">
        <v>45656</v>
      </c>
      <c r="C345" t="s">
        <v>11</v>
      </c>
      <c r="D345" t="s">
        <v>17</v>
      </c>
      <c r="E345">
        <v>8802.41</v>
      </c>
      <c r="F345">
        <v>7139.65</v>
      </c>
      <c r="G345" s="6">
        <v>135367</v>
      </c>
      <c r="H345" s="6">
        <v>1109</v>
      </c>
      <c r="I345" s="6">
        <v>182</v>
      </c>
      <c r="J345">
        <v>6895.63</v>
      </c>
      <c r="K345">
        <f t="shared" si="39"/>
        <v>0.00819254323431856</v>
      </c>
      <c r="L345">
        <f t="shared" si="45"/>
        <v>6.43791704238052</v>
      </c>
      <c r="M345">
        <f t="shared" si="40"/>
        <v>39.2288461538461</v>
      </c>
      <c r="N345">
        <f t="shared" si="41"/>
        <v>0.965821854012452</v>
      </c>
      <c r="O345">
        <f t="shared" si="42"/>
        <v>-244.02</v>
      </c>
      <c r="P345">
        <f t="shared" si="43"/>
        <v>-0.0353876295566902</v>
      </c>
      <c r="Q345" t="str">
        <f t="shared" si="44"/>
        <v>2024-12</v>
      </c>
    </row>
    <row r="346" spans="1:17">
      <c r="A346" t="s">
        <v>363</v>
      </c>
      <c r="B346" s="10">
        <v>45753</v>
      </c>
      <c r="C346" t="s">
        <v>19</v>
      </c>
      <c r="D346" t="s">
        <v>20</v>
      </c>
      <c r="E346">
        <v>4610.06</v>
      </c>
      <c r="F346">
        <v>3854.79</v>
      </c>
      <c r="G346" s="6">
        <v>154277</v>
      </c>
      <c r="H346" s="6">
        <v>3322</v>
      </c>
      <c r="I346" s="6">
        <v>278</v>
      </c>
      <c r="J346">
        <v>6201.79</v>
      </c>
      <c r="K346">
        <f t="shared" si="39"/>
        <v>0.0215326976801467</v>
      </c>
      <c r="L346">
        <f t="shared" si="45"/>
        <v>1.16038229981939</v>
      </c>
      <c r="M346">
        <f t="shared" si="40"/>
        <v>13.8661510791367</v>
      </c>
      <c r="N346">
        <f t="shared" si="41"/>
        <v>1.60885288173934</v>
      </c>
      <c r="O346">
        <f t="shared" si="42"/>
        <v>2347</v>
      </c>
      <c r="P346">
        <f t="shared" si="43"/>
        <v>0.37843912805819</v>
      </c>
      <c r="Q346" t="str">
        <f t="shared" si="44"/>
        <v>2025-04</v>
      </c>
    </row>
    <row r="347" spans="1:17">
      <c r="A347" t="s">
        <v>364</v>
      </c>
      <c r="B347" s="10">
        <v>45707</v>
      </c>
      <c r="C347" t="s">
        <v>19</v>
      </c>
      <c r="D347" t="s">
        <v>20</v>
      </c>
      <c r="E347">
        <v>7874.02</v>
      </c>
      <c r="F347">
        <v>7102.07</v>
      </c>
      <c r="G347" s="6">
        <v>194871</v>
      </c>
      <c r="H347" s="6">
        <v>7907</v>
      </c>
      <c r="I347" s="6">
        <v>784</v>
      </c>
      <c r="J347">
        <v>32726.51</v>
      </c>
      <c r="K347">
        <f t="shared" si="39"/>
        <v>0.0405755602424168</v>
      </c>
      <c r="L347">
        <f t="shared" si="45"/>
        <v>0.898200328822562</v>
      </c>
      <c r="M347">
        <f t="shared" si="40"/>
        <v>9.05876275510204</v>
      </c>
      <c r="N347">
        <f t="shared" si="41"/>
        <v>4.60802413944104</v>
      </c>
      <c r="O347">
        <f t="shared" si="42"/>
        <v>25624.44</v>
      </c>
      <c r="P347">
        <f t="shared" si="43"/>
        <v>0.782987247952806</v>
      </c>
      <c r="Q347" t="str">
        <f t="shared" si="44"/>
        <v>2025-02</v>
      </c>
    </row>
    <row r="348" spans="1:17">
      <c r="A348" t="s">
        <v>365</v>
      </c>
      <c r="B348" s="10">
        <v>45797</v>
      </c>
      <c r="C348" t="s">
        <v>14</v>
      </c>
      <c r="D348" t="s">
        <v>17</v>
      </c>
      <c r="E348">
        <v>3457.49</v>
      </c>
      <c r="F348">
        <v>3093.03</v>
      </c>
      <c r="G348" s="6">
        <v>57427</v>
      </c>
      <c r="H348" s="6">
        <v>1092</v>
      </c>
      <c r="I348" s="6">
        <v>199</v>
      </c>
      <c r="J348">
        <v>7200.76</v>
      </c>
      <c r="K348">
        <f t="shared" si="39"/>
        <v>0.0190154456962753</v>
      </c>
      <c r="L348">
        <f t="shared" si="45"/>
        <v>2.83244505494505</v>
      </c>
      <c r="M348">
        <f t="shared" si="40"/>
        <v>15.542864321608</v>
      </c>
      <c r="N348">
        <f t="shared" si="41"/>
        <v>2.32806018693643</v>
      </c>
      <c r="O348">
        <f t="shared" si="42"/>
        <v>4107.73</v>
      </c>
      <c r="P348">
        <f t="shared" si="43"/>
        <v>0.570457840561274</v>
      </c>
      <c r="Q348" t="str">
        <f t="shared" si="44"/>
        <v>2025-05</v>
      </c>
    </row>
    <row r="349" spans="1:17">
      <c r="A349" t="s">
        <v>366</v>
      </c>
      <c r="B349" s="10">
        <v>45653</v>
      </c>
      <c r="C349" t="s">
        <v>11</v>
      </c>
      <c r="D349" t="s">
        <v>20</v>
      </c>
      <c r="E349">
        <v>8535.06</v>
      </c>
      <c r="F349">
        <v>7644.22</v>
      </c>
      <c r="G349" s="6">
        <v>192331</v>
      </c>
      <c r="H349" s="6">
        <v>2108</v>
      </c>
      <c r="I349" s="6">
        <v>210</v>
      </c>
      <c r="J349">
        <v>8143.12</v>
      </c>
      <c r="K349">
        <f t="shared" si="39"/>
        <v>0.0109602716150803</v>
      </c>
      <c r="L349">
        <f t="shared" si="45"/>
        <v>3.62629032258065</v>
      </c>
      <c r="M349">
        <f t="shared" si="40"/>
        <v>36.4010476190476</v>
      </c>
      <c r="N349">
        <f t="shared" si="41"/>
        <v>1.06526499760603</v>
      </c>
      <c r="O349">
        <f t="shared" si="42"/>
        <v>498.9</v>
      </c>
      <c r="P349">
        <f t="shared" si="43"/>
        <v>0.0612664433288469</v>
      </c>
      <c r="Q349" t="str">
        <f t="shared" si="44"/>
        <v>2024-12</v>
      </c>
    </row>
    <row r="350" spans="1:17">
      <c r="A350" t="s">
        <v>367</v>
      </c>
      <c r="B350" s="10">
        <v>45807</v>
      </c>
      <c r="C350" t="s">
        <v>14</v>
      </c>
      <c r="D350" t="s">
        <v>12</v>
      </c>
      <c r="E350">
        <v>9201.84</v>
      </c>
      <c r="F350">
        <v>9061.59</v>
      </c>
      <c r="G350" s="6">
        <v>66208</v>
      </c>
      <c r="H350" s="6">
        <v>2170</v>
      </c>
      <c r="I350" s="6">
        <v>345</v>
      </c>
      <c r="J350">
        <v>9311.13</v>
      </c>
      <c r="K350">
        <f t="shared" si="39"/>
        <v>0.0327754954084099</v>
      </c>
      <c r="L350">
        <f t="shared" si="45"/>
        <v>4.17584792626728</v>
      </c>
      <c r="M350">
        <f t="shared" si="40"/>
        <v>26.2654782608696</v>
      </c>
      <c r="N350">
        <f t="shared" si="41"/>
        <v>1.02753821349233</v>
      </c>
      <c r="O350">
        <f t="shared" si="42"/>
        <v>249.539999999999</v>
      </c>
      <c r="P350">
        <f t="shared" si="43"/>
        <v>0.0268001842955688</v>
      </c>
      <c r="Q350" t="str">
        <f t="shared" si="44"/>
        <v>2025-05</v>
      </c>
    </row>
    <row r="351" spans="1:17">
      <c r="A351" t="s">
        <v>368</v>
      </c>
      <c r="B351" s="10">
        <v>45726</v>
      </c>
      <c r="C351" t="s">
        <v>24</v>
      </c>
      <c r="D351" t="s">
        <v>20</v>
      </c>
      <c r="E351">
        <v>3170.81</v>
      </c>
      <c r="F351">
        <v>3364.32</v>
      </c>
      <c r="G351" s="6">
        <v>132053</v>
      </c>
      <c r="H351" s="6">
        <v>4867</v>
      </c>
      <c r="I351" s="6">
        <v>162</v>
      </c>
      <c r="J351">
        <v>3343.37</v>
      </c>
      <c r="K351">
        <f t="shared" si="39"/>
        <v>0.036856413712676</v>
      </c>
      <c r="L351">
        <f t="shared" si="45"/>
        <v>0.691251284158619</v>
      </c>
      <c r="M351">
        <f t="shared" si="40"/>
        <v>20.7674074074074</v>
      </c>
      <c r="N351">
        <f t="shared" si="41"/>
        <v>0.993772887240215</v>
      </c>
      <c r="O351">
        <f t="shared" si="42"/>
        <v>-20.9500000000003</v>
      </c>
      <c r="P351">
        <f t="shared" si="43"/>
        <v>-0.00626613267451711</v>
      </c>
      <c r="Q351" t="str">
        <f t="shared" si="44"/>
        <v>2025-03</v>
      </c>
    </row>
    <row r="352" spans="1:17">
      <c r="A352" t="s">
        <v>369</v>
      </c>
      <c r="B352" s="10">
        <v>45745</v>
      </c>
      <c r="C352" t="s">
        <v>24</v>
      </c>
      <c r="D352" t="s">
        <v>12</v>
      </c>
      <c r="E352">
        <v>9122.91</v>
      </c>
      <c r="F352">
        <v>8745.96</v>
      </c>
      <c r="G352" s="6">
        <v>195707</v>
      </c>
      <c r="H352" s="6">
        <v>8454</v>
      </c>
      <c r="I352" s="6">
        <v>371</v>
      </c>
      <c r="J352">
        <v>17871.82</v>
      </c>
      <c r="K352">
        <f t="shared" si="39"/>
        <v>0.0431972285099664</v>
      </c>
      <c r="L352">
        <f t="shared" si="45"/>
        <v>1.03453513129879</v>
      </c>
      <c r="M352">
        <f t="shared" si="40"/>
        <v>23.5740161725067</v>
      </c>
      <c r="N352">
        <f t="shared" si="41"/>
        <v>2.04343719843219</v>
      </c>
      <c r="O352">
        <f t="shared" si="42"/>
        <v>9125.86</v>
      </c>
      <c r="P352">
        <f t="shared" si="43"/>
        <v>0.510628464252662</v>
      </c>
      <c r="Q352" t="str">
        <f t="shared" si="44"/>
        <v>2025-03</v>
      </c>
    </row>
    <row r="353" spans="1:17">
      <c r="A353" t="s">
        <v>370</v>
      </c>
      <c r="B353" s="10">
        <v>45776</v>
      </c>
      <c r="C353" t="s">
        <v>11</v>
      </c>
      <c r="D353" t="s">
        <v>20</v>
      </c>
      <c r="E353">
        <v>8591.48</v>
      </c>
      <c r="F353">
        <v>9445.3</v>
      </c>
      <c r="G353" s="6">
        <v>106946</v>
      </c>
      <c r="H353" s="6">
        <v>4278</v>
      </c>
      <c r="I353" s="6">
        <v>149</v>
      </c>
      <c r="J353">
        <v>4547.68</v>
      </c>
      <c r="K353">
        <f t="shared" si="39"/>
        <v>0.0400014960821349</v>
      </c>
      <c r="L353">
        <f t="shared" si="45"/>
        <v>2.20787751285647</v>
      </c>
      <c r="M353">
        <f t="shared" si="40"/>
        <v>63.3912751677852</v>
      </c>
      <c r="N353">
        <f t="shared" si="41"/>
        <v>0.481475442812828</v>
      </c>
      <c r="O353">
        <f t="shared" si="42"/>
        <v>-4897.62</v>
      </c>
      <c r="P353">
        <f t="shared" si="43"/>
        <v>-1.07694912570805</v>
      </c>
      <c r="Q353" t="str">
        <f t="shared" si="44"/>
        <v>2025-04</v>
      </c>
    </row>
    <row r="354" spans="1:17">
      <c r="A354" t="s">
        <v>371</v>
      </c>
      <c r="B354" s="10">
        <v>45663</v>
      </c>
      <c r="C354" t="s">
        <v>11</v>
      </c>
      <c r="D354" t="s">
        <v>17</v>
      </c>
      <c r="E354">
        <v>8370.32</v>
      </c>
      <c r="F354">
        <v>7705.54</v>
      </c>
      <c r="G354" s="6">
        <v>170434</v>
      </c>
      <c r="H354" s="6">
        <v>6373</v>
      </c>
      <c r="I354" s="6">
        <v>533</v>
      </c>
      <c r="J354">
        <v>18333.21</v>
      </c>
      <c r="K354">
        <f t="shared" si="39"/>
        <v>0.0373927737423284</v>
      </c>
      <c r="L354">
        <f t="shared" si="45"/>
        <v>1.2090914796799</v>
      </c>
      <c r="M354">
        <f t="shared" si="40"/>
        <v>14.4569230769231</v>
      </c>
      <c r="N354">
        <f t="shared" si="41"/>
        <v>2.37922455791547</v>
      </c>
      <c r="O354">
        <f t="shared" si="42"/>
        <v>10627.67</v>
      </c>
      <c r="P354">
        <f t="shared" si="43"/>
        <v>0.579694990675392</v>
      </c>
      <c r="Q354" t="str">
        <f t="shared" si="44"/>
        <v>2025-01</v>
      </c>
    </row>
    <row r="355" spans="1:17">
      <c r="A355" t="s">
        <v>372</v>
      </c>
      <c r="B355" s="10">
        <v>45642</v>
      </c>
      <c r="C355" t="s">
        <v>11</v>
      </c>
      <c r="D355" t="s">
        <v>20</v>
      </c>
      <c r="E355">
        <v>7392.54</v>
      </c>
      <c r="F355">
        <v>7851.64</v>
      </c>
      <c r="G355" s="6">
        <v>61724</v>
      </c>
      <c r="H355" s="6">
        <v>1074</v>
      </c>
      <c r="I355" s="6">
        <v>134</v>
      </c>
      <c r="J355">
        <v>6636.02</v>
      </c>
      <c r="K355">
        <f t="shared" si="39"/>
        <v>0.0174000388827685</v>
      </c>
      <c r="L355">
        <f t="shared" si="45"/>
        <v>7.31065176908752</v>
      </c>
      <c r="M355">
        <f t="shared" si="40"/>
        <v>58.594328358209</v>
      </c>
      <c r="N355">
        <f t="shared" si="41"/>
        <v>0.845176294379263</v>
      </c>
      <c r="O355">
        <f t="shared" si="42"/>
        <v>-1215.62</v>
      </c>
      <c r="P355">
        <f t="shared" si="43"/>
        <v>-0.183185101913496</v>
      </c>
      <c r="Q355" t="str">
        <f t="shared" si="44"/>
        <v>2024-12</v>
      </c>
    </row>
    <row r="356" spans="1:17">
      <c r="A356" t="s">
        <v>373</v>
      </c>
      <c r="B356" s="10">
        <v>45767</v>
      </c>
      <c r="C356" t="s">
        <v>24</v>
      </c>
      <c r="D356" t="s">
        <v>20</v>
      </c>
      <c r="E356">
        <v>8377.91</v>
      </c>
      <c r="F356">
        <v>7752.33</v>
      </c>
      <c r="G356" s="6">
        <v>194762</v>
      </c>
      <c r="H356" s="6">
        <v>1009</v>
      </c>
      <c r="I356" s="6">
        <v>129</v>
      </c>
      <c r="J356">
        <v>4210.65</v>
      </c>
      <c r="K356">
        <f t="shared" si="39"/>
        <v>0.00518068206323615</v>
      </c>
      <c r="L356">
        <f t="shared" si="45"/>
        <v>7.68318136769078</v>
      </c>
      <c r="M356">
        <f t="shared" si="40"/>
        <v>60.0955813953488</v>
      </c>
      <c r="N356">
        <f t="shared" si="41"/>
        <v>0.543146383087407</v>
      </c>
      <c r="O356">
        <f t="shared" si="42"/>
        <v>-3541.68</v>
      </c>
      <c r="P356">
        <f t="shared" si="43"/>
        <v>-0.841124291973923</v>
      </c>
      <c r="Q356" t="str">
        <f t="shared" si="44"/>
        <v>2025-04</v>
      </c>
    </row>
    <row r="357" spans="1:17">
      <c r="A357" t="s">
        <v>374</v>
      </c>
      <c r="B357" s="10">
        <v>45685</v>
      </c>
      <c r="C357" t="s">
        <v>19</v>
      </c>
      <c r="D357" t="s">
        <v>17</v>
      </c>
      <c r="E357">
        <v>8163.08</v>
      </c>
      <c r="F357">
        <v>7115.21</v>
      </c>
      <c r="G357" s="6">
        <v>188259</v>
      </c>
      <c r="H357" s="6">
        <v>3527</v>
      </c>
      <c r="I357" s="6">
        <v>426</v>
      </c>
      <c r="J357">
        <v>9931.86</v>
      </c>
      <c r="K357">
        <f t="shared" si="39"/>
        <v>0.0187348280825883</v>
      </c>
      <c r="L357">
        <f t="shared" si="45"/>
        <v>2.01735469237312</v>
      </c>
      <c r="M357">
        <f t="shared" si="40"/>
        <v>16.7023708920188</v>
      </c>
      <c r="N357">
        <f t="shared" si="41"/>
        <v>1.39586322821111</v>
      </c>
      <c r="O357">
        <f t="shared" si="42"/>
        <v>2816.65</v>
      </c>
      <c r="P357">
        <f t="shared" si="43"/>
        <v>0.283597432907834</v>
      </c>
      <c r="Q357" t="str">
        <f t="shared" si="44"/>
        <v>2025-01</v>
      </c>
    </row>
    <row r="358" spans="1:17">
      <c r="A358" t="s">
        <v>375</v>
      </c>
      <c r="B358" s="10">
        <v>45818</v>
      </c>
      <c r="C358" t="s">
        <v>11</v>
      </c>
      <c r="D358" t="s">
        <v>12</v>
      </c>
      <c r="E358">
        <v>5482.36</v>
      </c>
      <c r="F358">
        <v>4858.31</v>
      </c>
      <c r="G358" s="6">
        <v>99224</v>
      </c>
      <c r="H358" s="6">
        <v>3662</v>
      </c>
      <c r="I358" s="6">
        <v>233</v>
      </c>
      <c r="J358">
        <v>6731.19</v>
      </c>
      <c r="K358">
        <f t="shared" si="39"/>
        <v>0.0369063936144481</v>
      </c>
      <c r="L358">
        <f t="shared" si="45"/>
        <v>1.32668214090661</v>
      </c>
      <c r="M358">
        <f t="shared" si="40"/>
        <v>20.8511158798283</v>
      </c>
      <c r="N358">
        <f t="shared" si="41"/>
        <v>1.38550030772017</v>
      </c>
      <c r="O358">
        <f t="shared" si="42"/>
        <v>1872.88</v>
      </c>
      <c r="P358">
        <f t="shared" si="43"/>
        <v>0.278239063226562</v>
      </c>
      <c r="Q358" t="str">
        <f t="shared" si="44"/>
        <v>2025-06</v>
      </c>
    </row>
    <row r="359" spans="1:17">
      <c r="A359" t="s">
        <v>376</v>
      </c>
      <c r="B359" s="10">
        <v>45730</v>
      </c>
      <c r="C359" t="s">
        <v>22</v>
      </c>
      <c r="D359" t="s">
        <v>12</v>
      </c>
      <c r="E359">
        <v>4635.25</v>
      </c>
      <c r="F359">
        <v>3766.73</v>
      </c>
      <c r="G359" s="6">
        <v>83109</v>
      </c>
      <c r="H359" s="6">
        <v>3984</v>
      </c>
      <c r="I359" s="6">
        <v>764</v>
      </c>
      <c r="J359">
        <v>15689.67</v>
      </c>
      <c r="K359">
        <f t="shared" si="39"/>
        <v>0.0479370465292568</v>
      </c>
      <c r="L359">
        <f t="shared" si="45"/>
        <v>0.945464357429719</v>
      </c>
      <c r="M359">
        <f t="shared" si="40"/>
        <v>4.93027486910995</v>
      </c>
      <c r="N359">
        <f t="shared" si="41"/>
        <v>4.16532907853762</v>
      </c>
      <c r="O359">
        <f t="shared" si="42"/>
        <v>11922.94</v>
      </c>
      <c r="P359">
        <f t="shared" si="43"/>
        <v>0.759922930182725</v>
      </c>
      <c r="Q359" t="str">
        <f t="shared" si="44"/>
        <v>2025-03</v>
      </c>
    </row>
    <row r="360" spans="1:17">
      <c r="A360" t="s">
        <v>377</v>
      </c>
      <c r="B360" s="10">
        <v>45712</v>
      </c>
      <c r="C360" t="s">
        <v>11</v>
      </c>
      <c r="D360" t="s">
        <v>12</v>
      </c>
      <c r="E360">
        <v>9914.06</v>
      </c>
      <c r="F360">
        <v>9203.54</v>
      </c>
      <c r="G360" s="6">
        <v>111688</v>
      </c>
      <c r="H360" s="6">
        <v>2013</v>
      </c>
      <c r="I360" s="6">
        <v>234</v>
      </c>
      <c r="J360">
        <v>7377.97</v>
      </c>
      <c r="K360">
        <f t="shared" si="39"/>
        <v>0.0180234223909462</v>
      </c>
      <c r="L360">
        <f t="shared" si="45"/>
        <v>4.57205166418281</v>
      </c>
      <c r="M360">
        <f t="shared" si="40"/>
        <v>39.3313675213675</v>
      </c>
      <c r="N360">
        <f t="shared" si="41"/>
        <v>0.801644801891446</v>
      </c>
      <c r="O360">
        <f t="shared" si="42"/>
        <v>-1825.57</v>
      </c>
      <c r="P360">
        <f t="shared" si="43"/>
        <v>-0.247435270135281</v>
      </c>
      <c r="Q360" t="str">
        <f t="shared" si="44"/>
        <v>2025-02</v>
      </c>
    </row>
    <row r="361" spans="1:17">
      <c r="A361" t="s">
        <v>378</v>
      </c>
      <c r="B361" s="10">
        <v>45693</v>
      </c>
      <c r="C361" t="s">
        <v>24</v>
      </c>
      <c r="D361" t="s">
        <v>15</v>
      </c>
      <c r="E361">
        <v>7757.53</v>
      </c>
      <c r="F361">
        <v>6713.96</v>
      </c>
      <c r="G361" s="6">
        <v>134861</v>
      </c>
      <c r="H361" s="6">
        <v>3399</v>
      </c>
      <c r="I361" s="6">
        <v>139</v>
      </c>
      <c r="J361">
        <v>6741.34</v>
      </c>
      <c r="K361">
        <f t="shared" si="39"/>
        <v>0.0252037282831953</v>
      </c>
      <c r="L361">
        <f t="shared" si="45"/>
        <v>1.97527508090615</v>
      </c>
      <c r="M361">
        <f t="shared" si="40"/>
        <v>48.3018705035971</v>
      </c>
      <c r="N361">
        <f t="shared" si="41"/>
        <v>1.00407807017021</v>
      </c>
      <c r="O361">
        <f t="shared" si="42"/>
        <v>27.3800000000001</v>
      </c>
      <c r="P361">
        <f t="shared" si="43"/>
        <v>0.00406150705942737</v>
      </c>
      <c r="Q361" t="str">
        <f t="shared" si="44"/>
        <v>2025-02</v>
      </c>
    </row>
    <row r="362" spans="1:17">
      <c r="A362" t="s">
        <v>379</v>
      </c>
      <c r="B362" s="10">
        <v>45645</v>
      </c>
      <c r="C362" t="s">
        <v>19</v>
      </c>
      <c r="D362" t="s">
        <v>20</v>
      </c>
      <c r="E362">
        <v>8504.42</v>
      </c>
      <c r="F362">
        <v>7031.65</v>
      </c>
      <c r="G362" s="6">
        <v>176820</v>
      </c>
      <c r="H362" s="6">
        <v>1932</v>
      </c>
      <c r="I362" s="6">
        <v>64</v>
      </c>
      <c r="J362">
        <v>2081.76</v>
      </c>
      <c r="K362">
        <f t="shared" si="39"/>
        <v>0.0109263657957245</v>
      </c>
      <c r="L362">
        <f t="shared" si="45"/>
        <v>3.63957039337474</v>
      </c>
      <c r="M362">
        <f t="shared" si="40"/>
        <v>109.86953125</v>
      </c>
      <c r="N362">
        <f t="shared" si="41"/>
        <v>0.29605569105402</v>
      </c>
      <c r="O362">
        <f t="shared" si="42"/>
        <v>-4949.89</v>
      </c>
      <c r="P362">
        <f t="shared" si="43"/>
        <v>-2.37774287141649</v>
      </c>
      <c r="Q362" t="str">
        <f t="shared" si="44"/>
        <v>2024-12</v>
      </c>
    </row>
    <row r="363" spans="1:17">
      <c r="A363" t="s">
        <v>380</v>
      </c>
      <c r="B363" s="10">
        <v>45793</v>
      </c>
      <c r="C363" t="s">
        <v>19</v>
      </c>
      <c r="D363" t="s">
        <v>20</v>
      </c>
      <c r="E363">
        <v>9153.83</v>
      </c>
      <c r="F363">
        <v>9917.44</v>
      </c>
      <c r="G363" s="6">
        <v>86387</v>
      </c>
      <c r="H363" s="6">
        <v>2059</v>
      </c>
      <c r="I363" s="6">
        <v>67</v>
      </c>
      <c r="J363">
        <v>2279.48</v>
      </c>
      <c r="K363">
        <f t="shared" si="39"/>
        <v>0.0238346047437693</v>
      </c>
      <c r="L363">
        <f t="shared" si="45"/>
        <v>4.81662943176299</v>
      </c>
      <c r="M363">
        <f t="shared" si="40"/>
        <v>148.021492537313</v>
      </c>
      <c r="N363">
        <f t="shared" si="41"/>
        <v>0.229845605317501</v>
      </c>
      <c r="O363">
        <f t="shared" si="42"/>
        <v>-7637.96</v>
      </c>
      <c r="P363">
        <f t="shared" si="43"/>
        <v>-3.35074666151929</v>
      </c>
      <c r="Q363" t="str">
        <f t="shared" si="44"/>
        <v>2025-05</v>
      </c>
    </row>
    <row r="364" spans="1:17">
      <c r="A364" t="s">
        <v>381</v>
      </c>
      <c r="B364" s="10">
        <v>45765</v>
      </c>
      <c r="C364" t="s">
        <v>19</v>
      </c>
      <c r="D364" t="s">
        <v>20</v>
      </c>
      <c r="E364">
        <v>7293.88</v>
      </c>
      <c r="F364">
        <v>6200.6</v>
      </c>
      <c r="G364" s="6">
        <v>53430</v>
      </c>
      <c r="H364" s="6">
        <v>2126</v>
      </c>
      <c r="I364" s="6">
        <v>397</v>
      </c>
      <c r="J364">
        <v>19744.82</v>
      </c>
      <c r="K364">
        <f t="shared" si="39"/>
        <v>0.0397903799363653</v>
      </c>
      <c r="L364">
        <f t="shared" si="45"/>
        <v>2.91655691439323</v>
      </c>
      <c r="M364">
        <f t="shared" si="40"/>
        <v>15.6186397984887</v>
      </c>
      <c r="N364">
        <f t="shared" si="41"/>
        <v>3.1843402251395</v>
      </c>
      <c r="O364">
        <f t="shared" si="42"/>
        <v>13544.22</v>
      </c>
      <c r="P364">
        <f t="shared" si="43"/>
        <v>0.685963204526554</v>
      </c>
      <c r="Q364" t="str">
        <f t="shared" si="44"/>
        <v>2025-04</v>
      </c>
    </row>
    <row r="365" spans="1:17">
      <c r="A365" t="s">
        <v>382</v>
      </c>
      <c r="B365" s="10">
        <v>45686</v>
      </c>
      <c r="C365" t="s">
        <v>11</v>
      </c>
      <c r="D365" t="s">
        <v>20</v>
      </c>
      <c r="E365">
        <v>4621.7</v>
      </c>
      <c r="F365">
        <v>5004.47</v>
      </c>
      <c r="G365" s="6">
        <v>164936</v>
      </c>
      <c r="H365" s="6">
        <v>4651</v>
      </c>
      <c r="I365" s="6">
        <v>231</v>
      </c>
      <c r="J365">
        <v>9122.05</v>
      </c>
      <c r="K365">
        <f t="shared" si="39"/>
        <v>0.0281988165106466</v>
      </c>
      <c r="L365">
        <f t="shared" si="45"/>
        <v>1.07599870995485</v>
      </c>
      <c r="M365">
        <f t="shared" si="40"/>
        <v>21.6643722943723</v>
      </c>
      <c r="N365">
        <f t="shared" si="41"/>
        <v>1.82278043429174</v>
      </c>
      <c r="O365">
        <f t="shared" si="42"/>
        <v>4117.58</v>
      </c>
      <c r="P365">
        <f t="shared" si="43"/>
        <v>0.451387571872551</v>
      </c>
      <c r="Q365" t="str">
        <f t="shared" si="44"/>
        <v>2025-01</v>
      </c>
    </row>
    <row r="366" spans="1:17">
      <c r="A366" t="s">
        <v>383</v>
      </c>
      <c r="B366" s="10">
        <v>45726</v>
      </c>
      <c r="C366" t="s">
        <v>19</v>
      </c>
      <c r="D366" t="s">
        <v>20</v>
      </c>
      <c r="E366">
        <v>7254.16</v>
      </c>
      <c r="F366">
        <v>6919.07</v>
      </c>
      <c r="G366" s="6">
        <v>152738</v>
      </c>
      <c r="H366" s="6">
        <v>4601</v>
      </c>
      <c r="I366" s="6">
        <v>244</v>
      </c>
      <c r="J366">
        <v>6568.5</v>
      </c>
      <c r="K366">
        <f t="shared" si="39"/>
        <v>0.0301234794222787</v>
      </c>
      <c r="L366">
        <f t="shared" si="45"/>
        <v>1.5038187350576</v>
      </c>
      <c r="M366">
        <f t="shared" si="40"/>
        <v>28.3568442622951</v>
      </c>
      <c r="N366">
        <f t="shared" si="41"/>
        <v>0.949332786053617</v>
      </c>
      <c r="O366">
        <f t="shared" si="42"/>
        <v>-350.57</v>
      </c>
      <c r="P366">
        <f t="shared" si="43"/>
        <v>-0.053371393773312</v>
      </c>
      <c r="Q366" t="str">
        <f t="shared" si="44"/>
        <v>2025-03</v>
      </c>
    </row>
    <row r="367" spans="1:17">
      <c r="A367" t="s">
        <v>384</v>
      </c>
      <c r="B367" s="10">
        <v>45694</v>
      </c>
      <c r="C367" t="s">
        <v>19</v>
      </c>
      <c r="D367" t="s">
        <v>20</v>
      </c>
      <c r="E367">
        <v>4235.7</v>
      </c>
      <c r="F367">
        <v>3668.73</v>
      </c>
      <c r="G367" s="6">
        <v>76927</v>
      </c>
      <c r="H367" s="6">
        <v>1398</v>
      </c>
      <c r="I367" s="6">
        <v>241</v>
      </c>
      <c r="J367">
        <v>6167.95</v>
      </c>
      <c r="K367">
        <f t="shared" si="39"/>
        <v>0.0181730731732682</v>
      </c>
      <c r="L367">
        <f t="shared" si="45"/>
        <v>2.62427038626609</v>
      </c>
      <c r="M367">
        <f t="shared" si="40"/>
        <v>15.2229460580913</v>
      </c>
      <c r="N367">
        <f t="shared" si="41"/>
        <v>1.68122211228409</v>
      </c>
      <c r="O367">
        <f t="shared" si="42"/>
        <v>2499.22</v>
      </c>
      <c r="P367">
        <f t="shared" si="43"/>
        <v>0.405194594638413</v>
      </c>
      <c r="Q367" t="str">
        <f t="shared" si="44"/>
        <v>2025-02</v>
      </c>
    </row>
    <row r="368" spans="1:17">
      <c r="A368" t="s">
        <v>385</v>
      </c>
      <c r="B368" s="10">
        <v>45736</v>
      </c>
      <c r="C368" t="s">
        <v>22</v>
      </c>
      <c r="D368" t="s">
        <v>17</v>
      </c>
      <c r="E368">
        <v>8457.09</v>
      </c>
      <c r="F368">
        <v>7653.98</v>
      </c>
      <c r="G368" s="6">
        <v>69189</v>
      </c>
      <c r="H368" s="6">
        <v>1438</v>
      </c>
      <c r="I368" s="6">
        <v>105</v>
      </c>
      <c r="J368">
        <v>2282.2</v>
      </c>
      <c r="K368">
        <f t="shared" si="39"/>
        <v>0.0207836505802946</v>
      </c>
      <c r="L368">
        <f t="shared" si="45"/>
        <v>5.32265646731572</v>
      </c>
      <c r="M368">
        <f t="shared" si="40"/>
        <v>72.8950476190476</v>
      </c>
      <c r="N368">
        <f t="shared" si="41"/>
        <v>0.298171670163758</v>
      </c>
      <c r="O368">
        <f t="shared" si="42"/>
        <v>-5371.78</v>
      </c>
      <c r="P368">
        <f t="shared" si="43"/>
        <v>-2.35377267548856</v>
      </c>
      <c r="Q368" t="str">
        <f t="shared" si="44"/>
        <v>2025-03</v>
      </c>
    </row>
    <row r="369" spans="1:17">
      <c r="A369" t="s">
        <v>386</v>
      </c>
      <c r="B369" s="10">
        <v>45747</v>
      </c>
      <c r="C369" t="s">
        <v>22</v>
      </c>
      <c r="D369" t="s">
        <v>12</v>
      </c>
      <c r="E369">
        <v>9783.72</v>
      </c>
      <c r="F369">
        <v>10420.99</v>
      </c>
      <c r="G369" s="6">
        <v>127993</v>
      </c>
      <c r="H369" s="6">
        <v>3954</v>
      </c>
      <c r="I369" s="6">
        <v>611</v>
      </c>
      <c r="J369">
        <v>29225.7</v>
      </c>
      <c r="K369">
        <f t="shared" si="39"/>
        <v>0.030892314423445</v>
      </c>
      <c r="L369">
        <f t="shared" si="45"/>
        <v>2.63555639858371</v>
      </c>
      <c r="M369">
        <f t="shared" si="40"/>
        <v>17.0556301145663</v>
      </c>
      <c r="N369">
        <f t="shared" si="41"/>
        <v>2.80450321898399</v>
      </c>
      <c r="O369">
        <f t="shared" si="42"/>
        <v>18804.71</v>
      </c>
      <c r="P369">
        <f t="shared" si="43"/>
        <v>0.643430610729598</v>
      </c>
      <c r="Q369" t="str">
        <f t="shared" si="44"/>
        <v>2025-03</v>
      </c>
    </row>
    <row r="370" spans="1:17">
      <c r="A370" t="s">
        <v>387</v>
      </c>
      <c r="B370" s="10">
        <v>45719</v>
      </c>
      <c r="C370" t="s">
        <v>14</v>
      </c>
      <c r="D370" t="s">
        <v>17</v>
      </c>
      <c r="E370">
        <v>9964.35</v>
      </c>
      <c r="F370">
        <v>8491.31</v>
      </c>
      <c r="G370" s="6">
        <v>124998</v>
      </c>
      <c r="H370" s="6">
        <v>5305</v>
      </c>
      <c r="I370" s="6">
        <v>1051</v>
      </c>
      <c r="J370">
        <v>33513.51</v>
      </c>
      <c r="K370">
        <f t="shared" si="39"/>
        <v>0.0424406790508648</v>
      </c>
      <c r="L370">
        <f t="shared" si="45"/>
        <v>1.60062393967955</v>
      </c>
      <c r="M370">
        <f t="shared" si="40"/>
        <v>8.07926736441484</v>
      </c>
      <c r="N370">
        <f t="shared" si="41"/>
        <v>3.94680090586729</v>
      </c>
      <c r="O370">
        <f t="shared" si="42"/>
        <v>25022.2</v>
      </c>
      <c r="P370">
        <f t="shared" si="43"/>
        <v>0.746630239566074</v>
      </c>
      <c r="Q370" t="str">
        <f t="shared" si="44"/>
        <v>2025-03</v>
      </c>
    </row>
    <row r="371" spans="1:17">
      <c r="A371" t="s">
        <v>388</v>
      </c>
      <c r="B371" s="10">
        <v>45693</v>
      </c>
      <c r="C371" t="s">
        <v>11</v>
      </c>
      <c r="D371" t="s">
        <v>12</v>
      </c>
      <c r="E371">
        <v>8307.67</v>
      </c>
      <c r="F371">
        <v>8380.83</v>
      </c>
      <c r="G371" s="6">
        <v>107520</v>
      </c>
      <c r="H371" s="6">
        <v>2601</v>
      </c>
      <c r="I371" s="6">
        <v>369</v>
      </c>
      <c r="J371">
        <v>9083.63</v>
      </c>
      <c r="K371">
        <f t="shared" si="39"/>
        <v>0.0241908482142857</v>
      </c>
      <c r="L371">
        <f t="shared" si="45"/>
        <v>3.2221568627451</v>
      </c>
      <c r="M371">
        <f t="shared" si="40"/>
        <v>22.7122764227642</v>
      </c>
      <c r="N371">
        <f t="shared" si="41"/>
        <v>1.08385804269983</v>
      </c>
      <c r="O371">
        <f t="shared" si="42"/>
        <v>702.799999999999</v>
      </c>
      <c r="P371">
        <f t="shared" si="43"/>
        <v>0.0773699501190603</v>
      </c>
      <c r="Q371" t="str">
        <f t="shared" si="44"/>
        <v>2025-02</v>
      </c>
    </row>
    <row r="372" spans="1:17">
      <c r="A372" t="s">
        <v>389</v>
      </c>
      <c r="B372" s="10">
        <v>45655</v>
      </c>
      <c r="C372" t="s">
        <v>19</v>
      </c>
      <c r="D372" t="s">
        <v>20</v>
      </c>
      <c r="E372">
        <v>8710.83</v>
      </c>
      <c r="F372">
        <v>7555.18</v>
      </c>
      <c r="G372" s="6">
        <v>117796</v>
      </c>
      <c r="H372" s="6">
        <v>2015</v>
      </c>
      <c r="I372" s="6">
        <v>234</v>
      </c>
      <c r="J372">
        <v>6251.2</v>
      </c>
      <c r="K372">
        <f t="shared" si="39"/>
        <v>0.0171058440014941</v>
      </c>
      <c r="L372">
        <f t="shared" si="45"/>
        <v>3.74946898263027</v>
      </c>
      <c r="M372">
        <f t="shared" si="40"/>
        <v>32.287094017094</v>
      </c>
      <c r="N372">
        <f t="shared" si="41"/>
        <v>0.827405832819337</v>
      </c>
      <c r="O372">
        <f t="shared" si="42"/>
        <v>-1303.98</v>
      </c>
      <c r="P372">
        <f t="shared" si="43"/>
        <v>-0.208596749424111</v>
      </c>
      <c r="Q372" t="str">
        <f t="shared" si="44"/>
        <v>2024-12</v>
      </c>
    </row>
    <row r="373" spans="1:17">
      <c r="A373" t="s">
        <v>390</v>
      </c>
      <c r="B373" s="10">
        <v>45692</v>
      </c>
      <c r="C373" t="s">
        <v>24</v>
      </c>
      <c r="D373" t="s">
        <v>17</v>
      </c>
      <c r="E373">
        <v>6758.82</v>
      </c>
      <c r="F373">
        <v>6609.33</v>
      </c>
      <c r="G373" s="6">
        <v>56417</v>
      </c>
      <c r="H373" s="6">
        <v>2121</v>
      </c>
      <c r="I373" s="6">
        <v>213</v>
      </c>
      <c r="J373">
        <v>7966.75</v>
      </c>
      <c r="K373">
        <f t="shared" si="39"/>
        <v>0.0375950511370686</v>
      </c>
      <c r="L373">
        <f t="shared" si="45"/>
        <v>3.11613861386139</v>
      </c>
      <c r="M373">
        <f t="shared" si="40"/>
        <v>31.0297183098592</v>
      </c>
      <c r="N373">
        <f t="shared" si="41"/>
        <v>1.20537936523067</v>
      </c>
      <c r="O373">
        <f t="shared" si="42"/>
        <v>1357.42</v>
      </c>
      <c r="P373">
        <f t="shared" si="43"/>
        <v>0.17038566542191</v>
      </c>
      <c r="Q373" t="str">
        <f t="shared" si="44"/>
        <v>2025-02</v>
      </c>
    </row>
    <row r="374" spans="1:17">
      <c r="A374" t="s">
        <v>391</v>
      </c>
      <c r="B374" s="10">
        <v>45698</v>
      </c>
      <c r="C374" t="s">
        <v>14</v>
      </c>
      <c r="D374" t="s">
        <v>15</v>
      </c>
      <c r="E374">
        <v>3640.41</v>
      </c>
      <c r="F374">
        <v>3870.62</v>
      </c>
      <c r="G374" s="6">
        <v>133159</v>
      </c>
      <c r="H374" s="6">
        <v>6315</v>
      </c>
      <c r="I374" s="6">
        <v>1233</v>
      </c>
      <c r="J374">
        <v>34484.55</v>
      </c>
      <c r="K374">
        <f t="shared" si="39"/>
        <v>0.0474245075436133</v>
      </c>
      <c r="L374">
        <f t="shared" si="45"/>
        <v>0.61292478226445</v>
      </c>
      <c r="M374">
        <f t="shared" si="40"/>
        <v>3.13918896999189</v>
      </c>
      <c r="N374">
        <f t="shared" si="41"/>
        <v>8.90930910293442</v>
      </c>
      <c r="O374">
        <f t="shared" si="42"/>
        <v>30613.93</v>
      </c>
      <c r="P374">
        <f t="shared" si="43"/>
        <v>0.887757850979642</v>
      </c>
      <c r="Q374" t="str">
        <f t="shared" si="44"/>
        <v>2025-02</v>
      </c>
    </row>
    <row r="375" spans="1:17">
      <c r="A375" t="s">
        <v>392</v>
      </c>
      <c r="B375" s="10">
        <v>45785</v>
      </c>
      <c r="C375" t="s">
        <v>24</v>
      </c>
      <c r="D375" t="s">
        <v>20</v>
      </c>
      <c r="E375">
        <v>3906.6</v>
      </c>
      <c r="F375">
        <v>4166.87</v>
      </c>
      <c r="G375" s="6">
        <v>184724</v>
      </c>
      <c r="H375" s="6">
        <v>5850</v>
      </c>
      <c r="I375" s="6">
        <v>633</v>
      </c>
      <c r="J375">
        <v>30807.82</v>
      </c>
      <c r="K375">
        <f t="shared" si="39"/>
        <v>0.0316688681492389</v>
      </c>
      <c r="L375">
        <f t="shared" si="45"/>
        <v>0.71228547008547</v>
      </c>
      <c r="M375">
        <f t="shared" si="40"/>
        <v>6.58273301737757</v>
      </c>
      <c r="N375">
        <f t="shared" si="41"/>
        <v>7.39351599641938</v>
      </c>
      <c r="O375">
        <f t="shared" si="42"/>
        <v>26640.95</v>
      </c>
      <c r="P375">
        <f t="shared" si="43"/>
        <v>0.864746353360932</v>
      </c>
      <c r="Q375" t="str">
        <f t="shared" si="44"/>
        <v>2025-05</v>
      </c>
    </row>
    <row r="376" spans="1:17">
      <c r="A376" t="s">
        <v>393</v>
      </c>
      <c r="B376" s="10">
        <v>45644</v>
      </c>
      <c r="C376" t="s">
        <v>14</v>
      </c>
      <c r="D376" t="s">
        <v>15</v>
      </c>
      <c r="E376">
        <v>9034.89</v>
      </c>
      <c r="F376">
        <v>9422.08</v>
      </c>
      <c r="G376" s="6">
        <v>184680</v>
      </c>
      <c r="H376" s="6">
        <v>7103</v>
      </c>
      <c r="I376" s="6">
        <v>104</v>
      </c>
      <c r="J376">
        <v>4124.35</v>
      </c>
      <c r="K376">
        <f t="shared" si="39"/>
        <v>0.0384611219406541</v>
      </c>
      <c r="L376">
        <f t="shared" si="45"/>
        <v>1.32649303111361</v>
      </c>
      <c r="M376">
        <f t="shared" si="40"/>
        <v>90.5969230769231</v>
      </c>
      <c r="N376">
        <f t="shared" si="41"/>
        <v>0.437732432753702</v>
      </c>
      <c r="O376">
        <f t="shared" si="42"/>
        <v>-5297.73</v>
      </c>
      <c r="P376">
        <f t="shared" si="43"/>
        <v>-1.28450058797144</v>
      </c>
      <c r="Q376" t="str">
        <f t="shared" si="44"/>
        <v>2024-12</v>
      </c>
    </row>
    <row r="377" spans="1:17">
      <c r="A377" t="s">
        <v>394</v>
      </c>
      <c r="B377" s="10">
        <v>45743</v>
      </c>
      <c r="C377" t="s">
        <v>24</v>
      </c>
      <c r="D377" t="s">
        <v>12</v>
      </c>
      <c r="E377">
        <v>6856</v>
      </c>
      <c r="F377">
        <v>5663.71</v>
      </c>
      <c r="G377" s="6">
        <v>89044</v>
      </c>
      <c r="H377" s="6">
        <v>2861</v>
      </c>
      <c r="I377" s="6">
        <v>262</v>
      </c>
      <c r="J377">
        <v>8450.44</v>
      </c>
      <c r="K377">
        <f t="shared" si="39"/>
        <v>0.03213018283096</v>
      </c>
      <c r="L377">
        <f t="shared" si="45"/>
        <v>1.97962600489339</v>
      </c>
      <c r="M377">
        <f t="shared" si="40"/>
        <v>21.617213740458</v>
      </c>
      <c r="N377">
        <f t="shared" si="41"/>
        <v>1.49203260760173</v>
      </c>
      <c r="O377">
        <f t="shared" si="42"/>
        <v>2786.73</v>
      </c>
      <c r="P377">
        <f t="shared" si="43"/>
        <v>0.329773360913751</v>
      </c>
      <c r="Q377" t="str">
        <f t="shared" si="44"/>
        <v>2025-03</v>
      </c>
    </row>
    <row r="378" spans="1:17">
      <c r="A378" t="s">
        <v>395</v>
      </c>
      <c r="B378" s="10">
        <v>45654</v>
      </c>
      <c r="C378" t="s">
        <v>24</v>
      </c>
      <c r="D378" t="s">
        <v>20</v>
      </c>
      <c r="E378">
        <v>5608.82</v>
      </c>
      <c r="F378">
        <v>4924.13</v>
      </c>
      <c r="G378" s="6">
        <v>146101</v>
      </c>
      <c r="H378" s="6">
        <v>1999</v>
      </c>
      <c r="I378" s="6">
        <v>79</v>
      </c>
      <c r="J378">
        <v>3294.51</v>
      </c>
      <c r="K378">
        <f t="shared" si="39"/>
        <v>0.0136823156583459</v>
      </c>
      <c r="L378">
        <f t="shared" si="45"/>
        <v>2.46329664832416</v>
      </c>
      <c r="M378">
        <f t="shared" si="40"/>
        <v>62.3307594936709</v>
      </c>
      <c r="N378">
        <f t="shared" si="41"/>
        <v>0.669054228868856</v>
      </c>
      <c r="O378">
        <f t="shared" si="42"/>
        <v>-1629.62</v>
      </c>
      <c r="P378">
        <f t="shared" si="43"/>
        <v>-0.494647155419167</v>
      </c>
      <c r="Q378" t="str">
        <f t="shared" si="44"/>
        <v>2024-12</v>
      </c>
    </row>
    <row r="379" spans="1:17">
      <c r="A379" t="s">
        <v>396</v>
      </c>
      <c r="B379" s="10">
        <v>45675</v>
      </c>
      <c r="C379" t="s">
        <v>14</v>
      </c>
      <c r="D379" t="s">
        <v>15</v>
      </c>
      <c r="E379">
        <v>6471.13</v>
      </c>
      <c r="F379">
        <v>5334.24</v>
      </c>
      <c r="G379" s="6">
        <v>130452</v>
      </c>
      <c r="H379" s="6">
        <v>4881</v>
      </c>
      <c r="I379" s="6">
        <v>864</v>
      </c>
      <c r="J379">
        <v>22987.15</v>
      </c>
      <c r="K379">
        <f t="shared" si="39"/>
        <v>0.0374160610799374</v>
      </c>
      <c r="L379">
        <f t="shared" si="45"/>
        <v>1.09285802089736</v>
      </c>
      <c r="M379">
        <f t="shared" si="40"/>
        <v>6.17388888888889</v>
      </c>
      <c r="N379">
        <f t="shared" si="41"/>
        <v>4.3093580341342</v>
      </c>
      <c r="O379">
        <f t="shared" si="42"/>
        <v>17652.91</v>
      </c>
      <c r="P379">
        <f t="shared" si="43"/>
        <v>0.767946874666934</v>
      </c>
      <c r="Q379" t="str">
        <f t="shared" si="44"/>
        <v>2025-01</v>
      </c>
    </row>
    <row r="380" spans="1:17">
      <c r="A380" t="s">
        <v>397</v>
      </c>
      <c r="B380" s="10">
        <v>45766</v>
      </c>
      <c r="C380" t="s">
        <v>19</v>
      </c>
      <c r="D380" t="s">
        <v>20</v>
      </c>
      <c r="E380">
        <v>7782.81</v>
      </c>
      <c r="F380">
        <v>6404</v>
      </c>
      <c r="G380" s="6">
        <v>115837</v>
      </c>
      <c r="H380" s="6">
        <v>5035</v>
      </c>
      <c r="I380" s="6">
        <v>407</v>
      </c>
      <c r="J380">
        <v>18533.24</v>
      </c>
      <c r="K380">
        <f t="shared" si="39"/>
        <v>0.043466249989209</v>
      </c>
      <c r="L380">
        <f t="shared" si="45"/>
        <v>1.27189672293942</v>
      </c>
      <c r="M380">
        <f t="shared" si="40"/>
        <v>15.7346437346437</v>
      </c>
      <c r="N380">
        <f t="shared" si="41"/>
        <v>2.8940099937539</v>
      </c>
      <c r="O380">
        <f t="shared" si="42"/>
        <v>12129.24</v>
      </c>
      <c r="P380">
        <f t="shared" si="43"/>
        <v>0.65445869151859</v>
      </c>
      <c r="Q380" t="str">
        <f t="shared" si="44"/>
        <v>2025-04</v>
      </c>
    </row>
    <row r="381" spans="1:17">
      <c r="A381" t="s">
        <v>398</v>
      </c>
      <c r="B381" s="10">
        <v>45787</v>
      </c>
      <c r="C381" t="s">
        <v>11</v>
      </c>
      <c r="D381" t="s">
        <v>12</v>
      </c>
      <c r="E381">
        <v>6466.03</v>
      </c>
      <c r="F381">
        <v>6105.07</v>
      </c>
      <c r="G381" s="6">
        <v>186219</v>
      </c>
      <c r="H381" s="6">
        <v>6823</v>
      </c>
      <c r="I381" s="6">
        <v>526</v>
      </c>
      <c r="J381">
        <v>19868.19</v>
      </c>
      <c r="K381">
        <f t="shared" si="39"/>
        <v>0.0366396554594322</v>
      </c>
      <c r="L381">
        <f t="shared" si="45"/>
        <v>0.89477795691045</v>
      </c>
      <c r="M381">
        <f t="shared" si="40"/>
        <v>11.6065969581749</v>
      </c>
      <c r="N381">
        <f t="shared" si="41"/>
        <v>3.25437546170642</v>
      </c>
      <c r="O381">
        <f t="shared" si="42"/>
        <v>13763.12</v>
      </c>
      <c r="P381">
        <f t="shared" si="43"/>
        <v>0.692721380256581</v>
      </c>
      <c r="Q381" t="str">
        <f t="shared" si="44"/>
        <v>2025-05</v>
      </c>
    </row>
    <row r="382" spans="1:17">
      <c r="A382" t="s">
        <v>399</v>
      </c>
      <c r="B382" s="10">
        <v>45693</v>
      </c>
      <c r="C382" t="s">
        <v>19</v>
      </c>
      <c r="D382" t="s">
        <v>17</v>
      </c>
      <c r="E382">
        <v>8772.77</v>
      </c>
      <c r="F382">
        <v>7933.59</v>
      </c>
      <c r="G382" s="6">
        <v>165044</v>
      </c>
      <c r="H382" s="6">
        <v>3343</v>
      </c>
      <c r="I382" s="6">
        <v>448</v>
      </c>
      <c r="J382">
        <v>18072.54</v>
      </c>
      <c r="K382">
        <f t="shared" si="39"/>
        <v>0.0202552046726933</v>
      </c>
      <c r="L382">
        <f t="shared" si="45"/>
        <v>2.37319473526772</v>
      </c>
      <c r="M382">
        <f t="shared" si="40"/>
        <v>17.70890625</v>
      </c>
      <c r="N382">
        <f t="shared" si="41"/>
        <v>2.27797756123016</v>
      </c>
      <c r="O382">
        <f t="shared" si="42"/>
        <v>10138.95</v>
      </c>
      <c r="P382">
        <f t="shared" si="43"/>
        <v>0.56101411312411</v>
      </c>
      <c r="Q382" t="str">
        <f t="shared" si="44"/>
        <v>2025-02</v>
      </c>
    </row>
    <row r="383" spans="1:17">
      <c r="A383" t="s">
        <v>400</v>
      </c>
      <c r="B383" s="10">
        <v>45762</v>
      </c>
      <c r="C383" t="s">
        <v>11</v>
      </c>
      <c r="D383" t="s">
        <v>17</v>
      </c>
      <c r="E383">
        <v>6960.12</v>
      </c>
      <c r="F383">
        <v>6125.66</v>
      </c>
      <c r="G383" s="6">
        <v>181245</v>
      </c>
      <c r="H383" s="6">
        <v>4787</v>
      </c>
      <c r="I383" s="6">
        <v>615</v>
      </c>
      <c r="J383">
        <v>28510.72</v>
      </c>
      <c r="K383">
        <f t="shared" si="39"/>
        <v>0.0264117630831195</v>
      </c>
      <c r="L383">
        <f t="shared" si="45"/>
        <v>1.27964487152705</v>
      </c>
      <c r="M383">
        <f t="shared" si="40"/>
        <v>9.96042276422764</v>
      </c>
      <c r="N383">
        <f t="shared" si="41"/>
        <v>4.65430990293291</v>
      </c>
      <c r="O383">
        <f t="shared" si="42"/>
        <v>22385.06</v>
      </c>
      <c r="P383">
        <f t="shared" si="43"/>
        <v>0.78514537689683</v>
      </c>
      <c r="Q383" t="str">
        <f t="shared" si="44"/>
        <v>2025-04</v>
      </c>
    </row>
    <row r="384" spans="1:17">
      <c r="A384" t="s">
        <v>401</v>
      </c>
      <c r="B384" s="10">
        <v>45815</v>
      </c>
      <c r="C384" t="s">
        <v>22</v>
      </c>
      <c r="D384" t="s">
        <v>20</v>
      </c>
      <c r="E384">
        <v>8581.98</v>
      </c>
      <c r="F384">
        <v>8560.83</v>
      </c>
      <c r="G384" s="6">
        <v>125026</v>
      </c>
      <c r="H384" s="6">
        <v>4106</v>
      </c>
      <c r="I384" s="6">
        <v>468</v>
      </c>
      <c r="J384">
        <v>21302.17</v>
      </c>
      <c r="K384">
        <f t="shared" si="39"/>
        <v>0.0328411690368403</v>
      </c>
      <c r="L384">
        <f t="shared" si="45"/>
        <v>2.08495616171456</v>
      </c>
      <c r="M384">
        <f t="shared" si="40"/>
        <v>18.2923717948718</v>
      </c>
      <c r="N384">
        <f t="shared" si="41"/>
        <v>2.48832998669521</v>
      </c>
      <c r="O384">
        <f t="shared" si="42"/>
        <v>12741.34</v>
      </c>
      <c r="P384">
        <f t="shared" si="43"/>
        <v>0.598124040884098</v>
      </c>
      <c r="Q384" t="str">
        <f t="shared" si="44"/>
        <v>2025-06</v>
      </c>
    </row>
    <row r="385" spans="1:17">
      <c r="A385" t="s">
        <v>402</v>
      </c>
      <c r="B385" s="10">
        <v>45699</v>
      </c>
      <c r="C385" t="s">
        <v>14</v>
      </c>
      <c r="D385" t="s">
        <v>17</v>
      </c>
      <c r="E385">
        <v>9071.06</v>
      </c>
      <c r="F385">
        <v>9184.53</v>
      </c>
      <c r="G385" s="6">
        <v>172320</v>
      </c>
      <c r="H385" s="6">
        <v>5189</v>
      </c>
      <c r="I385" s="6">
        <v>470</v>
      </c>
      <c r="J385">
        <v>21201.89</v>
      </c>
      <c r="K385">
        <f t="shared" si="39"/>
        <v>0.0301125812441968</v>
      </c>
      <c r="L385">
        <f t="shared" si="45"/>
        <v>1.77</v>
      </c>
      <c r="M385">
        <f t="shared" si="40"/>
        <v>19.5415531914894</v>
      </c>
      <c r="N385">
        <f t="shared" si="41"/>
        <v>2.30843494441196</v>
      </c>
      <c r="O385">
        <f t="shared" si="42"/>
        <v>12017.36</v>
      </c>
      <c r="P385">
        <f t="shared" si="43"/>
        <v>0.566806072477501</v>
      </c>
      <c r="Q385" t="str">
        <f t="shared" si="44"/>
        <v>2025-02</v>
      </c>
    </row>
    <row r="386" spans="1:17">
      <c r="A386" t="s">
        <v>403</v>
      </c>
      <c r="B386" s="10">
        <v>45752</v>
      </c>
      <c r="C386" t="s">
        <v>11</v>
      </c>
      <c r="D386" t="s">
        <v>20</v>
      </c>
      <c r="E386">
        <v>7882.3</v>
      </c>
      <c r="F386">
        <v>7914.16</v>
      </c>
      <c r="G386" s="6">
        <v>169951</v>
      </c>
      <c r="H386" s="6">
        <v>5839</v>
      </c>
      <c r="I386" s="6">
        <v>987</v>
      </c>
      <c r="J386">
        <v>38057.08</v>
      </c>
      <c r="K386">
        <f t="shared" si="39"/>
        <v>0.0343569617124936</v>
      </c>
      <c r="L386">
        <f t="shared" si="45"/>
        <v>1.35539647199863</v>
      </c>
      <c r="M386">
        <f t="shared" si="40"/>
        <v>8.01839918946302</v>
      </c>
      <c r="N386">
        <f t="shared" si="41"/>
        <v>4.80873270189129</v>
      </c>
      <c r="O386">
        <f t="shared" si="42"/>
        <v>30142.92</v>
      </c>
      <c r="P386">
        <f t="shared" si="43"/>
        <v>0.792045001876129</v>
      </c>
      <c r="Q386" t="str">
        <f t="shared" si="44"/>
        <v>2025-04</v>
      </c>
    </row>
    <row r="387" spans="1:17">
      <c r="A387" t="s">
        <v>404</v>
      </c>
      <c r="B387" s="10">
        <v>45758</v>
      </c>
      <c r="C387" t="s">
        <v>11</v>
      </c>
      <c r="D387" t="s">
        <v>15</v>
      </c>
      <c r="E387">
        <v>8269.02</v>
      </c>
      <c r="F387">
        <v>7008.67</v>
      </c>
      <c r="G387" s="6">
        <v>117094</v>
      </c>
      <c r="H387" s="6">
        <v>1370</v>
      </c>
      <c r="I387" s="6">
        <v>194</v>
      </c>
      <c r="J387">
        <v>9006.67</v>
      </c>
      <c r="K387">
        <f t="shared" ref="K387:K450" si="46">H387/G387</f>
        <v>0.0117000017080294</v>
      </c>
      <c r="L387">
        <f t="shared" si="45"/>
        <v>5.11581751824817</v>
      </c>
      <c r="M387">
        <f t="shared" ref="M387:M450" si="47">F387/I387</f>
        <v>36.1271649484536</v>
      </c>
      <c r="N387">
        <f t="shared" ref="N387:N450" si="48">J387/F387</f>
        <v>1.28507548507777</v>
      </c>
      <c r="O387">
        <f t="shared" ref="O387:O450" si="49">J387-F387</f>
        <v>1998</v>
      </c>
      <c r="P387">
        <f t="shared" ref="P387:P450" si="50">O387/J387</f>
        <v>0.221835595175575</v>
      </c>
      <c r="Q387" t="str">
        <f t="shared" ref="Q387:Q450" si="51">TEXT(B387,"yyyy-mm")</f>
        <v>2025-04</v>
      </c>
    </row>
    <row r="388" spans="1:17">
      <c r="A388" t="s">
        <v>405</v>
      </c>
      <c r="B388" s="10">
        <v>45752</v>
      </c>
      <c r="C388" t="s">
        <v>19</v>
      </c>
      <c r="D388" t="s">
        <v>15</v>
      </c>
      <c r="E388">
        <v>9102.9</v>
      </c>
      <c r="F388">
        <v>7362.19</v>
      </c>
      <c r="G388" s="6">
        <v>54766</v>
      </c>
      <c r="H388" s="6">
        <v>2723</v>
      </c>
      <c r="I388" s="6">
        <v>466</v>
      </c>
      <c r="J388">
        <v>20864.92</v>
      </c>
      <c r="K388">
        <f t="shared" si="46"/>
        <v>0.0497206295877004</v>
      </c>
      <c r="L388">
        <f t="shared" si="45"/>
        <v>2.70370547190599</v>
      </c>
      <c r="M388">
        <f t="shared" si="47"/>
        <v>15.7986909871245</v>
      </c>
      <c r="N388">
        <f t="shared" si="48"/>
        <v>2.83406432053506</v>
      </c>
      <c r="O388">
        <f t="shared" si="49"/>
        <v>13502.73</v>
      </c>
      <c r="P388">
        <f t="shared" si="50"/>
        <v>0.647149857272398</v>
      </c>
      <c r="Q388" t="str">
        <f t="shared" si="51"/>
        <v>2025-04</v>
      </c>
    </row>
    <row r="389" spans="1:17">
      <c r="A389" t="s">
        <v>406</v>
      </c>
      <c r="B389" s="10">
        <v>45667</v>
      </c>
      <c r="C389" t="s">
        <v>19</v>
      </c>
      <c r="D389" t="s">
        <v>20</v>
      </c>
      <c r="E389">
        <v>3902.09</v>
      </c>
      <c r="F389">
        <v>3513.97</v>
      </c>
      <c r="G389" s="6">
        <v>197025</v>
      </c>
      <c r="H389" s="6">
        <v>6420</v>
      </c>
      <c r="I389" s="6">
        <v>253</v>
      </c>
      <c r="J389">
        <v>10703.23</v>
      </c>
      <c r="K389">
        <f t="shared" si="46"/>
        <v>0.0325846973734298</v>
      </c>
      <c r="L389">
        <f t="shared" ref="L389:L452" si="52">F389/H389</f>
        <v>0.547347352024922</v>
      </c>
      <c r="M389">
        <f t="shared" si="47"/>
        <v>13.889209486166</v>
      </c>
      <c r="N389">
        <f t="shared" si="48"/>
        <v>3.04590818931294</v>
      </c>
      <c r="O389">
        <f t="shared" si="49"/>
        <v>7189.26</v>
      </c>
      <c r="P389">
        <f t="shared" si="50"/>
        <v>0.671690695238727</v>
      </c>
      <c r="Q389" t="str">
        <f t="shared" si="51"/>
        <v>2025-01</v>
      </c>
    </row>
    <row r="390" spans="1:17">
      <c r="A390" t="s">
        <v>407</v>
      </c>
      <c r="B390" s="10">
        <v>45716</v>
      </c>
      <c r="C390" t="s">
        <v>11</v>
      </c>
      <c r="D390" t="s">
        <v>15</v>
      </c>
      <c r="E390">
        <v>4125.32</v>
      </c>
      <c r="F390">
        <v>4312.57</v>
      </c>
      <c r="G390" s="6">
        <v>119124</v>
      </c>
      <c r="H390" s="6">
        <v>3940</v>
      </c>
      <c r="I390" s="6">
        <v>727</v>
      </c>
      <c r="J390">
        <v>32688.85</v>
      </c>
      <c r="K390">
        <f t="shared" si="46"/>
        <v>0.0330747792216514</v>
      </c>
      <c r="L390">
        <f t="shared" si="52"/>
        <v>1.09456091370558</v>
      </c>
      <c r="M390">
        <f t="shared" si="47"/>
        <v>5.93200825309491</v>
      </c>
      <c r="N390">
        <f t="shared" si="48"/>
        <v>7.57990015234535</v>
      </c>
      <c r="O390">
        <f t="shared" si="49"/>
        <v>28376.28</v>
      </c>
      <c r="P390">
        <f t="shared" si="50"/>
        <v>0.868072140806422</v>
      </c>
      <c r="Q390" t="str">
        <f t="shared" si="51"/>
        <v>2025-02</v>
      </c>
    </row>
    <row r="391" spans="1:17">
      <c r="A391" t="s">
        <v>408</v>
      </c>
      <c r="B391" s="10">
        <v>45815</v>
      </c>
      <c r="C391" t="s">
        <v>19</v>
      </c>
      <c r="D391" t="s">
        <v>20</v>
      </c>
      <c r="E391">
        <v>6552.27</v>
      </c>
      <c r="F391">
        <v>5254.37</v>
      </c>
      <c r="G391" s="6">
        <v>68519</v>
      </c>
      <c r="H391" s="6">
        <v>3190</v>
      </c>
      <c r="I391" s="6">
        <v>282</v>
      </c>
      <c r="J391">
        <v>8068.34</v>
      </c>
      <c r="K391">
        <f t="shared" si="46"/>
        <v>0.0465564296034677</v>
      </c>
      <c r="L391">
        <f t="shared" si="52"/>
        <v>1.64713793103448</v>
      </c>
      <c r="M391">
        <f t="shared" si="47"/>
        <v>18.6325177304965</v>
      </c>
      <c r="N391">
        <f t="shared" si="48"/>
        <v>1.53554850533937</v>
      </c>
      <c r="O391">
        <f t="shared" si="49"/>
        <v>2813.97</v>
      </c>
      <c r="P391">
        <f t="shared" si="50"/>
        <v>0.348766908682579</v>
      </c>
      <c r="Q391" t="str">
        <f t="shared" si="51"/>
        <v>2025-06</v>
      </c>
    </row>
    <row r="392" spans="1:17">
      <c r="A392" t="s">
        <v>409</v>
      </c>
      <c r="B392" s="10">
        <v>45697</v>
      </c>
      <c r="C392" t="s">
        <v>11</v>
      </c>
      <c r="D392" t="s">
        <v>20</v>
      </c>
      <c r="E392">
        <v>7318.49</v>
      </c>
      <c r="F392">
        <v>8009.03</v>
      </c>
      <c r="G392" s="6">
        <v>140986</v>
      </c>
      <c r="H392" s="6">
        <v>2922</v>
      </c>
      <c r="I392" s="6">
        <v>339</v>
      </c>
      <c r="J392">
        <v>13205.54</v>
      </c>
      <c r="K392">
        <f t="shared" si="46"/>
        <v>0.0207254621026201</v>
      </c>
      <c r="L392">
        <f t="shared" si="52"/>
        <v>2.74094113620808</v>
      </c>
      <c r="M392">
        <f t="shared" si="47"/>
        <v>23.6254572271386</v>
      </c>
      <c r="N392">
        <f t="shared" si="48"/>
        <v>1.64883138157804</v>
      </c>
      <c r="O392">
        <f t="shared" si="49"/>
        <v>5196.51</v>
      </c>
      <c r="P392">
        <f t="shared" si="50"/>
        <v>0.393509845110461</v>
      </c>
      <c r="Q392" t="str">
        <f t="shared" si="51"/>
        <v>2025-02</v>
      </c>
    </row>
    <row r="393" spans="1:17">
      <c r="A393" t="s">
        <v>410</v>
      </c>
      <c r="B393" s="10">
        <v>45762</v>
      </c>
      <c r="C393" t="s">
        <v>11</v>
      </c>
      <c r="D393" t="s">
        <v>20</v>
      </c>
      <c r="E393">
        <v>4818.63</v>
      </c>
      <c r="F393">
        <v>4771.42</v>
      </c>
      <c r="G393" s="6">
        <v>175888</v>
      </c>
      <c r="H393" s="6">
        <v>8565</v>
      </c>
      <c r="I393" s="6">
        <v>610</v>
      </c>
      <c r="J393">
        <v>22081.73</v>
      </c>
      <c r="K393">
        <f t="shared" si="46"/>
        <v>0.0486957609387792</v>
      </c>
      <c r="L393">
        <f t="shared" si="52"/>
        <v>0.557083479276124</v>
      </c>
      <c r="M393">
        <f t="shared" si="47"/>
        <v>7.822</v>
      </c>
      <c r="N393">
        <f t="shared" si="48"/>
        <v>4.62791579865114</v>
      </c>
      <c r="O393">
        <f t="shared" si="49"/>
        <v>17310.31</v>
      </c>
      <c r="P393">
        <f t="shared" si="50"/>
        <v>0.783920009890529</v>
      </c>
      <c r="Q393" t="str">
        <f t="shared" si="51"/>
        <v>2025-04</v>
      </c>
    </row>
    <row r="394" spans="1:17">
      <c r="A394" t="s">
        <v>411</v>
      </c>
      <c r="B394" s="10">
        <v>45645</v>
      </c>
      <c r="C394" t="s">
        <v>14</v>
      </c>
      <c r="D394" t="s">
        <v>15</v>
      </c>
      <c r="E394">
        <v>8458.92</v>
      </c>
      <c r="F394">
        <v>7038.62</v>
      </c>
      <c r="G394" s="6">
        <v>187533</v>
      </c>
      <c r="H394" s="6">
        <v>7387</v>
      </c>
      <c r="I394" s="6">
        <v>925</v>
      </c>
      <c r="J394">
        <v>39618.52</v>
      </c>
      <c r="K394">
        <f t="shared" si="46"/>
        <v>0.0393904006228237</v>
      </c>
      <c r="L394">
        <f t="shared" si="52"/>
        <v>0.952838770813591</v>
      </c>
      <c r="M394">
        <f t="shared" si="47"/>
        <v>7.60931891891892</v>
      </c>
      <c r="N394">
        <f t="shared" si="48"/>
        <v>5.62873404161611</v>
      </c>
      <c r="O394">
        <f t="shared" si="49"/>
        <v>32579.9</v>
      </c>
      <c r="P394">
        <f t="shared" si="50"/>
        <v>0.822340158087682</v>
      </c>
      <c r="Q394" t="str">
        <f t="shared" si="51"/>
        <v>2024-12</v>
      </c>
    </row>
    <row r="395" spans="1:17">
      <c r="A395" t="s">
        <v>412</v>
      </c>
      <c r="B395" s="10">
        <v>45727</v>
      </c>
      <c r="C395" t="s">
        <v>22</v>
      </c>
      <c r="D395" t="s">
        <v>15</v>
      </c>
      <c r="E395">
        <v>6788.87</v>
      </c>
      <c r="F395">
        <v>7392.38</v>
      </c>
      <c r="G395" s="6">
        <v>91252</v>
      </c>
      <c r="H395" s="6">
        <v>1758</v>
      </c>
      <c r="I395" s="6">
        <v>270</v>
      </c>
      <c r="J395">
        <v>8169.16</v>
      </c>
      <c r="K395">
        <f t="shared" si="46"/>
        <v>0.0192653311708237</v>
      </c>
      <c r="L395">
        <f t="shared" si="52"/>
        <v>4.20499431171786</v>
      </c>
      <c r="M395">
        <f t="shared" si="47"/>
        <v>27.3791851851852</v>
      </c>
      <c r="N395">
        <f t="shared" si="48"/>
        <v>1.10507847269756</v>
      </c>
      <c r="O395">
        <f t="shared" si="49"/>
        <v>776.78</v>
      </c>
      <c r="P395">
        <f t="shared" si="50"/>
        <v>0.0950868877583497</v>
      </c>
      <c r="Q395" t="str">
        <f t="shared" si="51"/>
        <v>2025-03</v>
      </c>
    </row>
    <row r="396" spans="1:17">
      <c r="A396" t="s">
        <v>413</v>
      </c>
      <c r="B396" s="10">
        <v>45742</v>
      </c>
      <c r="C396" t="s">
        <v>14</v>
      </c>
      <c r="D396" t="s">
        <v>12</v>
      </c>
      <c r="E396">
        <v>7428.35</v>
      </c>
      <c r="F396">
        <v>8019.71</v>
      </c>
      <c r="G396" s="6">
        <v>145695</v>
      </c>
      <c r="H396" s="6">
        <v>2785</v>
      </c>
      <c r="I396" s="6">
        <v>83</v>
      </c>
      <c r="J396">
        <v>1915.25</v>
      </c>
      <c r="K396">
        <f t="shared" si="46"/>
        <v>0.0191152750609149</v>
      </c>
      <c r="L396">
        <f t="shared" si="52"/>
        <v>2.87960861759425</v>
      </c>
      <c r="M396">
        <f t="shared" si="47"/>
        <v>96.6230120481928</v>
      </c>
      <c r="N396">
        <f t="shared" si="48"/>
        <v>0.238817862491287</v>
      </c>
      <c r="O396">
        <f t="shared" si="49"/>
        <v>-6104.46</v>
      </c>
      <c r="P396">
        <f t="shared" si="50"/>
        <v>-3.18729147630858</v>
      </c>
      <c r="Q396" t="str">
        <f t="shared" si="51"/>
        <v>2025-03</v>
      </c>
    </row>
    <row r="397" spans="1:17">
      <c r="A397" t="s">
        <v>414</v>
      </c>
      <c r="B397" s="10">
        <v>45786</v>
      </c>
      <c r="C397" t="s">
        <v>14</v>
      </c>
      <c r="D397" t="s">
        <v>15</v>
      </c>
      <c r="E397">
        <v>9560.6</v>
      </c>
      <c r="F397">
        <v>9621.46</v>
      </c>
      <c r="G397" s="6">
        <v>165271</v>
      </c>
      <c r="H397" s="6">
        <v>3470</v>
      </c>
      <c r="I397" s="6">
        <v>651</v>
      </c>
      <c r="J397">
        <v>14344.86</v>
      </c>
      <c r="K397">
        <f t="shared" si="46"/>
        <v>0.0209958189882072</v>
      </c>
      <c r="L397">
        <f t="shared" si="52"/>
        <v>2.77275504322767</v>
      </c>
      <c r="M397">
        <f t="shared" si="47"/>
        <v>14.7795084485407</v>
      </c>
      <c r="N397">
        <f t="shared" si="48"/>
        <v>1.4909234149495</v>
      </c>
      <c r="O397">
        <f t="shared" si="49"/>
        <v>4723.4</v>
      </c>
      <c r="P397">
        <f t="shared" si="50"/>
        <v>0.32927473673497</v>
      </c>
      <c r="Q397" t="str">
        <f t="shared" si="51"/>
        <v>2025-05</v>
      </c>
    </row>
    <row r="398" spans="1:17">
      <c r="A398" t="s">
        <v>415</v>
      </c>
      <c r="B398" s="10">
        <v>45777</v>
      </c>
      <c r="C398" t="s">
        <v>22</v>
      </c>
      <c r="D398" t="s">
        <v>15</v>
      </c>
      <c r="E398">
        <v>5106.74</v>
      </c>
      <c r="F398">
        <v>5170.33</v>
      </c>
      <c r="G398" s="6">
        <v>69967</v>
      </c>
      <c r="H398" s="6">
        <v>1422</v>
      </c>
      <c r="I398" s="6">
        <v>153</v>
      </c>
      <c r="J398">
        <v>3369.14</v>
      </c>
      <c r="K398">
        <f t="shared" si="46"/>
        <v>0.0203238669658553</v>
      </c>
      <c r="L398">
        <f t="shared" si="52"/>
        <v>3.63595639943741</v>
      </c>
      <c r="M398">
        <f t="shared" si="47"/>
        <v>33.7930065359477</v>
      </c>
      <c r="N398">
        <f t="shared" si="48"/>
        <v>0.651629586506084</v>
      </c>
      <c r="O398">
        <f t="shared" si="49"/>
        <v>-1801.19</v>
      </c>
      <c r="P398">
        <f t="shared" si="50"/>
        <v>-0.534614174537122</v>
      </c>
      <c r="Q398" t="str">
        <f t="shared" si="51"/>
        <v>2025-04</v>
      </c>
    </row>
    <row r="399" spans="1:17">
      <c r="A399" t="s">
        <v>416</v>
      </c>
      <c r="B399" s="10">
        <v>45767</v>
      </c>
      <c r="C399" t="s">
        <v>24</v>
      </c>
      <c r="D399" t="s">
        <v>12</v>
      </c>
      <c r="E399">
        <v>7075.19</v>
      </c>
      <c r="F399">
        <v>6394.31</v>
      </c>
      <c r="G399" s="6">
        <v>193477</v>
      </c>
      <c r="H399" s="6">
        <v>8585</v>
      </c>
      <c r="I399" s="6">
        <v>591</v>
      </c>
      <c r="J399">
        <v>22828.83</v>
      </c>
      <c r="K399">
        <f t="shared" si="46"/>
        <v>0.0443721992795009</v>
      </c>
      <c r="L399">
        <f t="shared" si="52"/>
        <v>0.744823529411765</v>
      </c>
      <c r="M399">
        <f t="shared" si="47"/>
        <v>10.819475465313</v>
      </c>
      <c r="N399">
        <f t="shared" si="48"/>
        <v>3.57017879958901</v>
      </c>
      <c r="O399">
        <f t="shared" si="49"/>
        <v>16434.52</v>
      </c>
      <c r="P399">
        <f t="shared" si="50"/>
        <v>0.719901983588296</v>
      </c>
      <c r="Q399" t="str">
        <f t="shared" si="51"/>
        <v>2025-04</v>
      </c>
    </row>
    <row r="400" spans="1:17">
      <c r="A400" t="s">
        <v>417</v>
      </c>
      <c r="B400" s="10">
        <v>45719</v>
      </c>
      <c r="C400" t="s">
        <v>24</v>
      </c>
      <c r="D400" t="s">
        <v>12</v>
      </c>
      <c r="E400">
        <v>3320.19</v>
      </c>
      <c r="F400">
        <v>3524.25</v>
      </c>
      <c r="G400" s="6">
        <v>180485</v>
      </c>
      <c r="H400" s="6">
        <v>1392</v>
      </c>
      <c r="I400" s="6">
        <v>278</v>
      </c>
      <c r="J400">
        <v>13678.9</v>
      </c>
      <c r="K400">
        <f t="shared" si="46"/>
        <v>0.00771255228966396</v>
      </c>
      <c r="L400">
        <f t="shared" si="52"/>
        <v>2.53178879310345</v>
      </c>
      <c r="M400">
        <f t="shared" si="47"/>
        <v>12.6771582733813</v>
      </c>
      <c r="N400">
        <f t="shared" si="48"/>
        <v>3.88136482939633</v>
      </c>
      <c r="O400">
        <f t="shared" si="49"/>
        <v>10154.65</v>
      </c>
      <c r="P400">
        <f t="shared" si="50"/>
        <v>0.742358669191236</v>
      </c>
      <c r="Q400" t="str">
        <f t="shared" si="51"/>
        <v>2025-03</v>
      </c>
    </row>
    <row r="401" spans="1:17">
      <c r="A401" t="s">
        <v>418</v>
      </c>
      <c r="B401" s="10">
        <v>45722</v>
      </c>
      <c r="C401" t="s">
        <v>11</v>
      </c>
      <c r="D401" t="s">
        <v>17</v>
      </c>
      <c r="E401">
        <v>9782.14</v>
      </c>
      <c r="F401">
        <v>10025.67</v>
      </c>
      <c r="G401" s="6">
        <v>149220</v>
      </c>
      <c r="H401" s="6">
        <v>5688</v>
      </c>
      <c r="I401" s="6">
        <v>531</v>
      </c>
      <c r="J401">
        <v>12692.27</v>
      </c>
      <c r="K401">
        <f t="shared" si="46"/>
        <v>0.0381182147165259</v>
      </c>
      <c r="L401">
        <f t="shared" si="52"/>
        <v>1.76260021097046</v>
      </c>
      <c r="M401">
        <f t="shared" si="47"/>
        <v>18.8807344632768</v>
      </c>
      <c r="N401">
        <f t="shared" si="48"/>
        <v>1.26597723643407</v>
      </c>
      <c r="O401">
        <f t="shared" si="49"/>
        <v>2666.6</v>
      </c>
      <c r="P401">
        <f t="shared" si="50"/>
        <v>0.210096381498345</v>
      </c>
      <c r="Q401" t="str">
        <f t="shared" si="51"/>
        <v>2025-03</v>
      </c>
    </row>
    <row r="402" spans="1:17">
      <c r="A402" t="s">
        <v>419</v>
      </c>
      <c r="B402" s="10">
        <v>45771</v>
      </c>
      <c r="C402" t="s">
        <v>22</v>
      </c>
      <c r="D402" t="s">
        <v>15</v>
      </c>
      <c r="E402">
        <v>8307.84</v>
      </c>
      <c r="F402">
        <v>6707.55</v>
      </c>
      <c r="G402" s="6">
        <v>128069</v>
      </c>
      <c r="H402" s="6">
        <v>2283</v>
      </c>
      <c r="I402" s="6">
        <v>270</v>
      </c>
      <c r="J402">
        <v>5579.2</v>
      </c>
      <c r="K402">
        <f t="shared" si="46"/>
        <v>0.0178263279950652</v>
      </c>
      <c r="L402">
        <f t="shared" si="52"/>
        <v>2.9380420499343</v>
      </c>
      <c r="M402">
        <f t="shared" si="47"/>
        <v>24.8427777777778</v>
      </c>
      <c r="N402">
        <f t="shared" si="48"/>
        <v>0.831779114579839</v>
      </c>
      <c r="O402">
        <f t="shared" si="49"/>
        <v>-1128.35</v>
      </c>
      <c r="P402">
        <f t="shared" si="50"/>
        <v>-0.202242256954402</v>
      </c>
      <c r="Q402" t="str">
        <f t="shared" si="51"/>
        <v>2025-04</v>
      </c>
    </row>
    <row r="403" spans="1:17">
      <c r="A403" t="s">
        <v>420</v>
      </c>
      <c r="B403" s="10">
        <v>45705</v>
      </c>
      <c r="C403" t="s">
        <v>22</v>
      </c>
      <c r="D403" t="s">
        <v>12</v>
      </c>
      <c r="E403">
        <v>5265.27</v>
      </c>
      <c r="F403">
        <v>4984.07</v>
      </c>
      <c r="G403" s="6">
        <v>50640</v>
      </c>
      <c r="H403" s="6">
        <v>1609</v>
      </c>
      <c r="I403" s="6">
        <v>321</v>
      </c>
      <c r="J403">
        <v>13839.02</v>
      </c>
      <c r="K403">
        <f t="shared" si="46"/>
        <v>0.0317733017377567</v>
      </c>
      <c r="L403">
        <f t="shared" si="52"/>
        <v>3.09761963952766</v>
      </c>
      <c r="M403">
        <f t="shared" si="47"/>
        <v>15.5266978193146</v>
      </c>
      <c r="N403">
        <f t="shared" si="48"/>
        <v>2.77665040820053</v>
      </c>
      <c r="O403">
        <f t="shared" si="49"/>
        <v>8854.95</v>
      </c>
      <c r="P403">
        <f t="shared" si="50"/>
        <v>0.639853833580702</v>
      </c>
      <c r="Q403" t="str">
        <f t="shared" si="51"/>
        <v>2025-02</v>
      </c>
    </row>
    <row r="404" spans="1:17">
      <c r="A404" t="s">
        <v>421</v>
      </c>
      <c r="B404" s="10">
        <v>45802</v>
      </c>
      <c r="C404" t="s">
        <v>14</v>
      </c>
      <c r="D404" t="s">
        <v>20</v>
      </c>
      <c r="E404">
        <v>7783.07</v>
      </c>
      <c r="F404">
        <v>7267.6</v>
      </c>
      <c r="G404" s="6">
        <v>159631</v>
      </c>
      <c r="H404" s="6">
        <v>5836</v>
      </c>
      <c r="I404" s="6">
        <v>861</v>
      </c>
      <c r="J404">
        <v>24287.78</v>
      </c>
      <c r="K404">
        <f t="shared" si="46"/>
        <v>0.0365593149200343</v>
      </c>
      <c r="L404">
        <f t="shared" si="52"/>
        <v>1.245305003427</v>
      </c>
      <c r="M404">
        <f t="shared" si="47"/>
        <v>8.44088269454123</v>
      </c>
      <c r="N404">
        <f t="shared" si="48"/>
        <v>3.34192580769442</v>
      </c>
      <c r="O404">
        <f t="shared" si="49"/>
        <v>17020.18</v>
      </c>
      <c r="P404">
        <f t="shared" si="50"/>
        <v>0.700771334391204</v>
      </c>
      <c r="Q404" t="str">
        <f t="shared" si="51"/>
        <v>2025-05</v>
      </c>
    </row>
    <row r="405" spans="1:17">
      <c r="A405" t="s">
        <v>422</v>
      </c>
      <c r="B405" s="10">
        <v>45652</v>
      </c>
      <c r="C405" t="s">
        <v>24</v>
      </c>
      <c r="D405" t="s">
        <v>20</v>
      </c>
      <c r="E405">
        <v>9979.87</v>
      </c>
      <c r="F405">
        <v>9259.87</v>
      </c>
      <c r="G405" s="6">
        <v>92070</v>
      </c>
      <c r="H405" s="6">
        <v>2984</v>
      </c>
      <c r="I405" s="6">
        <v>369</v>
      </c>
      <c r="J405">
        <v>12376.85</v>
      </c>
      <c r="K405">
        <f t="shared" si="46"/>
        <v>0.0324101227327034</v>
      </c>
      <c r="L405">
        <f t="shared" si="52"/>
        <v>3.1031735924933</v>
      </c>
      <c r="M405">
        <f t="shared" si="47"/>
        <v>25.0944986449865</v>
      </c>
      <c r="N405">
        <f t="shared" si="48"/>
        <v>1.33661163709642</v>
      </c>
      <c r="O405">
        <f t="shared" si="49"/>
        <v>3116.98</v>
      </c>
      <c r="P405">
        <f t="shared" si="50"/>
        <v>0.251839522980403</v>
      </c>
      <c r="Q405" t="str">
        <f t="shared" si="51"/>
        <v>2024-12</v>
      </c>
    </row>
    <row r="406" spans="1:17">
      <c r="A406" t="s">
        <v>423</v>
      </c>
      <c r="B406" s="10">
        <v>45818</v>
      </c>
      <c r="C406" t="s">
        <v>14</v>
      </c>
      <c r="D406" t="s">
        <v>17</v>
      </c>
      <c r="E406">
        <v>4145.37</v>
      </c>
      <c r="F406">
        <v>4304.73</v>
      </c>
      <c r="G406" s="6">
        <v>138224</v>
      </c>
      <c r="H406" s="6">
        <v>4150</v>
      </c>
      <c r="I406" s="6">
        <v>232</v>
      </c>
      <c r="J406">
        <v>9468.03</v>
      </c>
      <c r="K406">
        <f t="shared" si="46"/>
        <v>0.0300237295983331</v>
      </c>
      <c r="L406">
        <f t="shared" si="52"/>
        <v>1.0372843373494</v>
      </c>
      <c r="M406">
        <f t="shared" si="47"/>
        <v>18.5548706896552</v>
      </c>
      <c r="N406">
        <f t="shared" si="48"/>
        <v>2.19944804900656</v>
      </c>
      <c r="O406">
        <f t="shared" si="49"/>
        <v>5163.3</v>
      </c>
      <c r="P406">
        <f t="shared" si="50"/>
        <v>0.545340477374913</v>
      </c>
      <c r="Q406" t="str">
        <f t="shared" si="51"/>
        <v>2025-06</v>
      </c>
    </row>
    <row r="407" spans="1:17">
      <c r="A407" t="s">
        <v>424</v>
      </c>
      <c r="B407" s="10">
        <v>45696</v>
      </c>
      <c r="C407" t="s">
        <v>19</v>
      </c>
      <c r="D407" t="s">
        <v>12</v>
      </c>
      <c r="E407">
        <v>4545.39</v>
      </c>
      <c r="F407">
        <v>3748.65</v>
      </c>
      <c r="G407" s="6">
        <v>63940</v>
      </c>
      <c r="H407" s="6">
        <v>2107</v>
      </c>
      <c r="I407" s="6">
        <v>352</v>
      </c>
      <c r="J407">
        <v>14226.07</v>
      </c>
      <c r="K407">
        <f t="shared" si="46"/>
        <v>0.0329527682202064</v>
      </c>
      <c r="L407">
        <f t="shared" si="52"/>
        <v>1.77914095870906</v>
      </c>
      <c r="M407">
        <f t="shared" si="47"/>
        <v>10.6495738636364</v>
      </c>
      <c r="N407">
        <f t="shared" si="48"/>
        <v>3.7949848612167</v>
      </c>
      <c r="O407">
        <f t="shared" si="49"/>
        <v>10477.42</v>
      </c>
      <c r="P407">
        <f t="shared" si="50"/>
        <v>0.736494337508532</v>
      </c>
      <c r="Q407" t="str">
        <f t="shared" si="51"/>
        <v>2025-02</v>
      </c>
    </row>
    <row r="408" spans="1:17">
      <c r="A408" t="s">
        <v>425</v>
      </c>
      <c r="B408" s="10">
        <v>45803</v>
      </c>
      <c r="C408" t="s">
        <v>19</v>
      </c>
      <c r="D408" t="s">
        <v>20</v>
      </c>
      <c r="E408">
        <v>7581.58</v>
      </c>
      <c r="F408">
        <v>6686.79</v>
      </c>
      <c r="G408" s="6">
        <v>192599</v>
      </c>
      <c r="H408" s="6">
        <v>7700</v>
      </c>
      <c r="I408" s="6">
        <v>1117</v>
      </c>
      <c r="J408">
        <v>54203.44</v>
      </c>
      <c r="K408">
        <f t="shared" si="46"/>
        <v>0.0399794391455823</v>
      </c>
      <c r="L408">
        <f t="shared" si="52"/>
        <v>0.868414285714286</v>
      </c>
      <c r="M408">
        <f t="shared" si="47"/>
        <v>5.98638316920322</v>
      </c>
      <c r="N408">
        <f t="shared" si="48"/>
        <v>8.10604789443066</v>
      </c>
      <c r="O408">
        <f t="shared" si="49"/>
        <v>47516.65</v>
      </c>
      <c r="P408">
        <f t="shared" si="50"/>
        <v>0.87663532056268</v>
      </c>
      <c r="Q408" t="str">
        <f t="shared" si="51"/>
        <v>2025-05</v>
      </c>
    </row>
    <row r="409" spans="1:17">
      <c r="A409" t="s">
        <v>426</v>
      </c>
      <c r="B409" s="10">
        <v>45800</v>
      </c>
      <c r="C409" t="s">
        <v>14</v>
      </c>
      <c r="D409" t="s">
        <v>15</v>
      </c>
      <c r="E409">
        <v>4057.41</v>
      </c>
      <c r="F409">
        <v>3772.18</v>
      </c>
      <c r="G409" s="6">
        <v>65526</v>
      </c>
      <c r="H409" s="6">
        <v>2744</v>
      </c>
      <c r="I409" s="6">
        <v>447</v>
      </c>
      <c r="J409">
        <v>21593.89</v>
      </c>
      <c r="K409">
        <f t="shared" si="46"/>
        <v>0.0418765070353753</v>
      </c>
      <c r="L409">
        <f t="shared" si="52"/>
        <v>1.37470116618076</v>
      </c>
      <c r="M409">
        <f t="shared" si="47"/>
        <v>8.43888143176734</v>
      </c>
      <c r="N409">
        <f t="shared" si="48"/>
        <v>5.72451208584956</v>
      </c>
      <c r="O409">
        <f t="shared" si="49"/>
        <v>17821.71</v>
      </c>
      <c r="P409">
        <f t="shared" si="50"/>
        <v>0.82531262315405</v>
      </c>
      <c r="Q409" t="str">
        <f t="shared" si="51"/>
        <v>2025-05</v>
      </c>
    </row>
    <row r="410" spans="1:17">
      <c r="A410" t="s">
        <v>427</v>
      </c>
      <c r="B410" s="10">
        <v>45754</v>
      </c>
      <c r="C410" t="s">
        <v>11</v>
      </c>
      <c r="D410" t="s">
        <v>12</v>
      </c>
      <c r="E410">
        <v>5938.09</v>
      </c>
      <c r="F410">
        <v>5887.96</v>
      </c>
      <c r="G410" s="6">
        <v>149688</v>
      </c>
      <c r="H410" s="6">
        <v>5146</v>
      </c>
      <c r="I410" s="6">
        <v>512</v>
      </c>
      <c r="J410">
        <v>16347.05</v>
      </c>
      <c r="K410">
        <f t="shared" si="46"/>
        <v>0.0343781732670622</v>
      </c>
      <c r="L410">
        <f t="shared" si="52"/>
        <v>1.14418188884571</v>
      </c>
      <c r="M410">
        <f t="shared" si="47"/>
        <v>11.499921875</v>
      </c>
      <c r="N410">
        <f t="shared" si="48"/>
        <v>2.7763520811962</v>
      </c>
      <c r="O410">
        <f t="shared" si="49"/>
        <v>10459.09</v>
      </c>
      <c r="P410">
        <f t="shared" si="50"/>
        <v>0.639815134840843</v>
      </c>
      <c r="Q410" t="str">
        <f t="shared" si="51"/>
        <v>2025-04</v>
      </c>
    </row>
    <row r="411" spans="1:17">
      <c r="A411" t="s">
        <v>428</v>
      </c>
      <c r="B411" s="10">
        <v>45675</v>
      </c>
      <c r="C411" t="s">
        <v>11</v>
      </c>
      <c r="D411" t="s">
        <v>17</v>
      </c>
      <c r="E411">
        <v>4919.51</v>
      </c>
      <c r="F411">
        <v>5387.81</v>
      </c>
      <c r="G411" s="6">
        <v>118998</v>
      </c>
      <c r="H411" s="6">
        <v>1453</v>
      </c>
      <c r="I411" s="6">
        <v>106</v>
      </c>
      <c r="J411">
        <v>3421.68</v>
      </c>
      <c r="K411">
        <f t="shared" si="46"/>
        <v>0.0122102892485588</v>
      </c>
      <c r="L411">
        <f t="shared" si="52"/>
        <v>3.70805918788713</v>
      </c>
      <c r="M411">
        <f t="shared" si="47"/>
        <v>50.8283962264151</v>
      </c>
      <c r="N411">
        <f t="shared" si="48"/>
        <v>0.635078074393863</v>
      </c>
      <c r="O411">
        <f t="shared" si="49"/>
        <v>-1966.13</v>
      </c>
      <c r="P411">
        <f t="shared" si="50"/>
        <v>-0.574609548525871</v>
      </c>
      <c r="Q411" t="str">
        <f t="shared" si="51"/>
        <v>2025-01</v>
      </c>
    </row>
    <row r="412" spans="1:17">
      <c r="A412" t="s">
        <v>429</v>
      </c>
      <c r="B412" s="10">
        <v>45687</v>
      </c>
      <c r="C412" t="s">
        <v>14</v>
      </c>
      <c r="D412" t="s">
        <v>12</v>
      </c>
      <c r="E412">
        <v>9258.69</v>
      </c>
      <c r="F412">
        <v>8045.68</v>
      </c>
      <c r="G412" s="6">
        <v>115280</v>
      </c>
      <c r="H412" s="6">
        <v>3264</v>
      </c>
      <c r="I412" s="6">
        <v>281</v>
      </c>
      <c r="J412">
        <v>7416.47</v>
      </c>
      <c r="K412">
        <f t="shared" si="46"/>
        <v>0.0283136710617627</v>
      </c>
      <c r="L412">
        <f t="shared" si="52"/>
        <v>2.46497549019608</v>
      </c>
      <c r="M412">
        <f t="shared" si="47"/>
        <v>28.6323131672598</v>
      </c>
      <c r="N412">
        <f t="shared" si="48"/>
        <v>0.921795298843603</v>
      </c>
      <c r="O412">
        <f t="shared" si="49"/>
        <v>-629.21</v>
      </c>
      <c r="P412">
        <f t="shared" si="50"/>
        <v>-0.0848395530488224</v>
      </c>
      <c r="Q412" t="str">
        <f t="shared" si="51"/>
        <v>2025-01</v>
      </c>
    </row>
    <row r="413" spans="1:17">
      <c r="A413" t="s">
        <v>430</v>
      </c>
      <c r="B413" s="10">
        <v>45727</v>
      </c>
      <c r="C413" t="s">
        <v>24</v>
      </c>
      <c r="D413" t="s">
        <v>12</v>
      </c>
      <c r="E413">
        <v>3217.94</v>
      </c>
      <c r="F413">
        <v>3203.46</v>
      </c>
      <c r="G413" s="6">
        <v>129278</v>
      </c>
      <c r="H413" s="6">
        <v>5246</v>
      </c>
      <c r="I413" s="6">
        <v>346</v>
      </c>
      <c r="J413">
        <v>10745.3</v>
      </c>
      <c r="K413">
        <f t="shared" si="46"/>
        <v>0.0405792168814493</v>
      </c>
      <c r="L413">
        <f t="shared" si="52"/>
        <v>0.610648112847884</v>
      </c>
      <c r="M413">
        <f t="shared" si="47"/>
        <v>9.2585549132948</v>
      </c>
      <c r="N413">
        <f t="shared" si="48"/>
        <v>3.35427943536052</v>
      </c>
      <c r="O413">
        <f t="shared" si="49"/>
        <v>7541.84</v>
      </c>
      <c r="P413">
        <f t="shared" si="50"/>
        <v>0.701873377197472</v>
      </c>
      <c r="Q413" t="str">
        <f t="shared" si="51"/>
        <v>2025-03</v>
      </c>
    </row>
    <row r="414" spans="1:17">
      <c r="A414" t="s">
        <v>431</v>
      </c>
      <c r="B414" s="10">
        <v>45796</v>
      </c>
      <c r="C414" t="s">
        <v>19</v>
      </c>
      <c r="D414" t="s">
        <v>15</v>
      </c>
      <c r="E414">
        <v>9050.51</v>
      </c>
      <c r="F414">
        <v>8525.25</v>
      </c>
      <c r="G414" s="6">
        <v>113951</v>
      </c>
      <c r="H414" s="6">
        <v>4911</v>
      </c>
      <c r="I414" s="6">
        <v>623</v>
      </c>
      <c r="J414">
        <v>30555.54</v>
      </c>
      <c r="K414">
        <f t="shared" si="46"/>
        <v>0.0430974717203008</v>
      </c>
      <c r="L414">
        <f t="shared" si="52"/>
        <v>1.73594990836897</v>
      </c>
      <c r="M414">
        <f t="shared" si="47"/>
        <v>13.6841894060995</v>
      </c>
      <c r="N414">
        <f t="shared" si="48"/>
        <v>3.58412245975191</v>
      </c>
      <c r="O414">
        <f t="shared" si="49"/>
        <v>22030.29</v>
      </c>
      <c r="P414">
        <f t="shared" si="50"/>
        <v>0.720991676141217</v>
      </c>
      <c r="Q414" t="str">
        <f t="shared" si="51"/>
        <v>2025-05</v>
      </c>
    </row>
    <row r="415" spans="1:17">
      <c r="A415" t="s">
        <v>432</v>
      </c>
      <c r="B415" s="10">
        <v>45709</v>
      </c>
      <c r="C415" t="s">
        <v>22</v>
      </c>
      <c r="D415" t="s">
        <v>12</v>
      </c>
      <c r="E415">
        <v>4298.68</v>
      </c>
      <c r="F415">
        <v>4559.12</v>
      </c>
      <c r="G415" s="6">
        <v>160215</v>
      </c>
      <c r="H415" s="6">
        <v>4360</v>
      </c>
      <c r="I415" s="6">
        <v>734</v>
      </c>
      <c r="J415">
        <v>31780.66</v>
      </c>
      <c r="K415">
        <f t="shared" si="46"/>
        <v>0.0272134319508161</v>
      </c>
      <c r="L415">
        <f t="shared" si="52"/>
        <v>1.04566972477064</v>
      </c>
      <c r="M415">
        <f t="shared" si="47"/>
        <v>6.21133514986376</v>
      </c>
      <c r="N415">
        <f t="shared" si="48"/>
        <v>6.97078822228851</v>
      </c>
      <c r="O415">
        <f t="shared" si="49"/>
        <v>27221.54</v>
      </c>
      <c r="P415">
        <f t="shared" si="50"/>
        <v>0.856544200151916</v>
      </c>
      <c r="Q415" t="str">
        <f t="shared" si="51"/>
        <v>2025-02</v>
      </c>
    </row>
    <row r="416" spans="1:17">
      <c r="A416" t="s">
        <v>433</v>
      </c>
      <c r="B416" s="10">
        <v>45793</v>
      </c>
      <c r="C416" t="s">
        <v>24</v>
      </c>
      <c r="D416" t="s">
        <v>15</v>
      </c>
      <c r="E416">
        <v>8396.45</v>
      </c>
      <c r="F416">
        <v>8845.11</v>
      </c>
      <c r="G416" s="6">
        <v>176532</v>
      </c>
      <c r="H416" s="6">
        <v>2317</v>
      </c>
      <c r="I416" s="6">
        <v>156</v>
      </c>
      <c r="J416">
        <v>6681.59</v>
      </c>
      <c r="K416">
        <f t="shared" si="46"/>
        <v>0.0131250991321687</v>
      </c>
      <c r="L416">
        <f t="shared" si="52"/>
        <v>3.81748381527838</v>
      </c>
      <c r="M416">
        <f t="shared" si="47"/>
        <v>56.6994230769231</v>
      </c>
      <c r="N416">
        <f t="shared" si="48"/>
        <v>0.755399311031745</v>
      </c>
      <c r="O416">
        <f t="shared" si="49"/>
        <v>-2163.52</v>
      </c>
      <c r="P416">
        <f t="shared" si="50"/>
        <v>-0.32380316661154</v>
      </c>
      <c r="Q416" t="str">
        <f t="shared" si="51"/>
        <v>2025-05</v>
      </c>
    </row>
    <row r="417" spans="1:17">
      <c r="A417" t="s">
        <v>434</v>
      </c>
      <c r="B417" s="10">
        <v>45763</v>
      </c>
      <c r="C417" t="s">
        <v>22</v>
      </c>
      <c r="D417" t="s">
        <v>17</v>
      </c>
      <c r="E417">
        <v>7383.54</v>
      </c>
      <c r="F417">
        <v>6197.55</v>
      </c>
      <c r="G417" s="6">
        <v>93893</v>
      </c>
      <c r="H417" s="6">
        <v>3140</v>
      </c>
      <c r="I417" s="6">
        <v>208</v>
      </c>
      <c r="J417">
        <v>4362.96</v>
      </c>
      <c r="K417">
        <f t="shared" si="46"/>
        <v>0.0334423226438606</v>
      </c>
      <c r="L417">
        <f t="shared" si="52"/>
        <v>1.97374203821656</v>
      </c>
      <c r="M417">
        <f t="shared" si="47"/>
        <v>29.7959134615385</v>
      </c>
      <c r="N417">
        <f t="shared" si="48"/>
        <v>0.703981412009584</v>
      </c>
      <c r="O417">
        <f t="shared" si="49"/>
        <v>-1834.59</v>
      </c>
      <c r="P417">
        <f t="shared" si="50"/>
        <v>-0.420492051267947</v>
      </c>
      <c r="Q417" t="str">
        <f t="shared" si="51"/>
        <v>2025-04</v>
      </c>
    </row>
    <row r="418" spans="1:17">
      <c r="A418" t="s">
        <v>435</v>
      </c>
      <c r="B418" s="10">
        <v>45748</v>
      </c>
      <c r="C418" t="s">
        <v>22</v>
      </c>
      <c r="D418" t="s">
        <v>20</v>
      </c>
      <c r="E418">
        <v>9445.93</v>
      </c>
      <c r="F418">
        <v>9304.19</v>
      </c>
      <c r="G418" s="6">
        <v>70743</v>
      </c>
      <c r="H418" s="6">
        <v>1210</v>
      </c>
      <c r="I418" s="6">
        <v>52</v>
      </c>
      <c r="J418">
        <v>2282.6</v>
      </c>
      <c r="K418">
        <f t="shared" si="46"/>
        <v>0.017104165783187</v>
      </c>
      <c r="L418">
        <f t="shared" si="52"/>
        <v>7.6894132231405</v>
      </c>
      <c r="M418">
        <f t="shared" si="47"/>
        <v>178.926730769231</v>
      </c>
      <c r="N418">
        <f t="shared" si="48"/>
        <v>0.245330329668676</v>
      </c>
      <c r="O418">
        <f t="shared" si="49"/>
        <v>-7021.59</v>
      </c>
      <c r="P418">
        <f t="shared" si="50"/>
        <v>-3.07613686147376</v>
      </c>
      <c r="Q418" t="str">
        <f t="shared" si="51"/>
        <v>2025-04</v>
      </c>
    </row>
    <row r="419" spans="1:17">
      <c r="A419" t="s">
        <v>436</v>
      </c>
      <c r="B419" s="10">
        <v>45690</v>
      </c>
      <c r="C419" t="s">
        <v>24</v>
      </c>
      <c r="D419" t="s">
        <v>15</v>
      </c>
      <c r="E419">
        <v>6370.66</v>
      </c>
      <c r="F419">
        <v>5320.73</v>
      </c>
      <c r="G419" s="6">
        <v>84061</v>
      </c>
      <c r="H419" s="6">
        <v>1539</v>
      </c>
      <c r="I419" s="6">
        <v>177</v>
      </c>
      <c r="J419">
        <v>4204.74</v>
      </c>
      <c r="K419">
        <f t="shared" si="46"/>
        <v>0.0183081333793317</v>
      </c>
      <c r="L419">
        <f t="shared" si="52"/>
        <v>3.4572644574399</v>
      </c>
      <c r="M419">
        <f t="shared" si="47"/>
        <v>30.0606214689266</v>
      </c>
      <c r="N419">
        <f t="shared" si="48"/>
        <v>0.790256224239907</v>
      </c>
      <c r="O419">
        <f t="shared" si="49"/>
        <v>-1115.99</v>
      </c>
      <c r="P419">
        <f t="shared" si="50"/>
        <v>-0.265412367946651</v>
      </c>
      <c r="Q419" t="str">
        <f t="shared" si="51"/>
        <v>2025-02</v>
      </c>
    </row>
    <row r="420" spans="1:17">
      <c r="A420" t="s">
        <v>437</v>
      </c>
      <c r="B420" s="10">
        <v>45744</v>
      </c>
      <c r="C420" t="s">
        <v>14</v>
      </c>
      <c r="D420" t="s">
        <v>17</v>
      </c>
      <c r="E420">
        <v>7798.96</v>
      </c>
      <c r="F420">
        <v>7245.95</v>
      </c>
      <c r="G420" s="6">
        <v>108436</v>
      </c>
      <c r="H420" s="6">
        <v>3545</v>
      </c>
      <c r="I420" s="6">
        <v>81</v>
      </c>
      <c r="J420">
        <v>2107.28</v>
      </c>
      <c r="K420">
        <f t="shared" si="46"/>
        <v>0.0326920948762404</v>
      </c>
      <c r="L420">
        <f t="shared" si="52"/>
        <v>2.04399153737659</v>
      </c>
      <c r="M420">
        <f t="shared" si="47"/>
        <v>89.4561728395062</v>
      </c>
      <c r="N420">
        <f t="shared" si="48"/>
        <v>0.290821769402218</v>
      </c>
      <c r="O420">
        <f t="shared" si="49"/>
        <v>-5138.67</v>
      </c>
      <c r="P420">
        <f t="shared" si="50"/>
        <v>-2.43853213621351</v>
      </c>
      <c r="Q420" t="str">
        <f t="shared" si="51"/>
        <v>2025-03</v>
      </c>
    </row>
    <row r="421" spans="1:17">
      <c r="A421" t="s">
        <v>438</v>
      </c>
      <c r="B421" s="10">
        <v>45688</v>
      </c>
      <c r="C421" t="s">
        <v>22</v>
      </c>
      <c r="D421" t="s">
        <v>17</v>
      </c>
      <c r="E421">
        <v>6441.16</v>
      </c>
      <c r="F421">
        <v>5277</v>
      </c>
      <c r="G421" s="6">
        <v>143676</v>
      </c>
      <c r="H421" s="6">
        <v>6117</v>
      </c>
      <c r="I421" s="6">
        <v>461</v>
      </c>
      <c r="J421">
        <v>17268.66</v>
      </c>
      <c r="K421">
        <f t="shared" si="46"/>
        <v>0.0425749603274033</v>
      </c>
      <c r="L421">
        <f t="shared" si="52"/>
        <v>0.862677783227072</v>
      </c>
      <c r="M421">
        <f t="shared" si="47"/>
        <v>11.4468546637744</v>
      </c>
      <c r="N421">
        <f t="shared" si="48"/>
        <v>3.27243888573053</v>
      </c>
      <c r="O421">
        <f t="shared" si="49"/>
        <v>11991.66</v>
      </c>
      <c r="P421">
        <f t="shared" si="50"/>
        <v>0.69441751705112</v>
      </c>
      <c r="Q421" t="str">
        <f t="shared" si="51"/>
        <v>2025-01</v>
      </c>
    </row>
    <row r="422" spans="1:17">
      <c r="A422" t="s">
        <v>439</v>
      </c>
      <c r="B422" s="10">
        <v>45763</v>
      </c>
      <c r="C422" t="s">
        <v>19</v>
      </c>
      <c r="D422" t="s">
        <v>20</v>
      </c>
      <c r="E422">
        <v>4882.95</v>
      </c>
      <c r="F422">
        <v>5074.69</v>
      </c>
      <c r="G422" s="6">
        <v>76424</v>
      </c>
      <c r="H422" s="6">
        <v>1044</v>
      </c>
      <c r="I422" s="6">
        <v>91</v>
      </c>
      <c r="J422">
        <v>2667.29</v>
      </c>
      <c r="K422">
        <f t="shared" si="46"/>
        <v>0.0136606301685334</v>
      </c>
      <c r="L422">
        <f t="shared" si="52"/>
        <v>4.86081417624521</v>
      </c>
      <c r="M422">
        <f t="shared" si="47"/>
        <v>55.7658241758242</v>
      </c>
      <c r="N422">
        <f t="shared" si="48"/>
        <v>0.525606490248665</v>
      </c>
      <c r="O422">
        <f t="shared" si="49"/>
        <v>-2407.4</v>
      </c>
      <c r="P422">
        <f t="shared" si="50"/>
        <v>-0.902564025659002</v>
      </c>
      <c r="Q422" t="str">
        <f t="shared" si="51"/>
        <v>2025-04</v>
      </c>
    </row>
    <row r="423" spans="1:17">
      <c r="A423" t="s">
        <v>440</v>
      </c>
      <c r="B423" s="10">
        <v>45675</v>
      </c>
      <c r="C423" t="s">
        <v>19</v>
      </c>
      <c r="D423" t="s">
        <v>12</v>
      </c>
      <c r="E423">
        <v>6186.54</v>
      </c>
      <c r="F423">
        <v>4970.8</v>
      </c>
      <c r="G423" s="6">
        <v>131046</v>
      </c>
      <c r="H423" s="6">
        <v>6398</v>
      </c>
      <c r="I423" s="6">
        <v>1049</v>
      </c>
      <c r="J423">
        <v>23259.9</v>
      </c>
      <c r="K423">
        <f t="shared" si="46"/>
        <v>0.0488225508600034</v>
      </c>
      <c r="L423">
        <f t="shared" si="52"/>
        <v>0.776930290715849</v>
      </c>
      <c r="M423">
        <f t="shared" si="47"/>
        <v>4.73860819828408</v>
      </c>
      <c r="N423">
        <f t="shared" si="48"/>
        <v>4.67930715377806</v>
      </c>
      <c r="O423">
        <f t="shared" si="49"/>
        <v>18289.1</v>
      </c>
      <c r="P423">
        <f t="shared" si="50"/>
        <v>0.786293148293845</v>
      </c>
      <c r="Q423" t="str">
        <f t="shared" si="51"/>
        <v>2025-01</v>
      </c>
    </row>
    <row r="424" spans="1:17">
      <c r="A424" t="s">
        <v>441</v>
      </c>
      <c r="B424" s="10">
        <v>45795</v>
      </c>
      <c r="C424" t="s">
        <v>24</v>
      </c>
      <c r="D424" t="s">
        <v>12</v>
      </c>
      <c r="E424">
        <v>5747.45</v>
      </c>
      <c r="F424">
        <v>5425.49</v>
      </c>
      <c r="G424" s="6">
        <v>69001</v>
      </c>
      <c r="H424" s="6">
        <v>2029</v>
      </c>
      <c r="I424" s="6">
        <v>320</v>
      </c>
      <c r="J424">
        <v>12160.2</v>
      </c>
      <c r="K424">
        <f t="shared" si="46"/>
        <v>0.0294053709366531</v>
      </c>
      <c r="L424">
        <f t="shared" si="52"/>
        <v>2.67397240019714</v>
      </c>
      <c r="M424">
        <f t="shared" si="47"/>
        <v>16.95465625</v>
      </c>
      <c r="N424">
        <f t="shared" si="48"/>
        <v>2.24130907991721</v>
      </c>
      <c r="O424">
        <f t="shared" si="49"/>
        <v>6734.71</v>
      </c>
      <c r="P424">
        <f t="shared" si="50"/>
        <v>0.553832173812931</v>
      </c>
      <c r="Q424" t="str">
        <f t="shared" si="51"/>
        <v>2025-05</v>
      </c>
    </row>
    <row r="425" spans="1:17">
      <c r="A425" t="s">
        <v>442</v>
      </c>
      <c r="B425" s="10">
        <v>45682</v>
      </c>
      <c r="C425" t="s">
        <v>11</v>
      </c>
      <c r="D425" t="s">
        <v>20</v>
      </c>
      <c r="E425">
        <v>5041.64</v>
      </c>
      <c r="F425">
        <v>5084.47</v>
      </c>
      <c r="G425" s="6">
        <v>179928</v>
      </c>
      <c r="H425" s="6">
        <v>5522</v>
      </c>
      <c r="I425" s="6">
        <v>900</v>
      </c>
      <c r="J425">
        <v>41223.3</v>
      </c>
      <c r="K425">
        <f t="shared" si="46"/>
        <v>0.0306900537992975</v>
      </c>
      <c r="L425">
        <f t="shared" si="52"/>
        <v>0.920766026801883</v>
      </c>
      <c r="M425">
        <f t="shared" si="47"/>
        <v>5.64941111111111</v>
      </c>
      <c r="N425">
        <f t="shared" si="48"/>
        <v>8.10768870698421</v>
      </c>
      <c r="O425">
        <f t="shared" si="49"/>
        <v>36138.83</v>
      </c>
      <c r="P425">
        <f t="shared" si="50"/>
        <v>0.876660286779564</v>
      </c>
      <c r="Q425" t="str">
        <f t="shared" si="51"/>
        <v>2025-01</v>
      </c>
    </row>
    <row r="426" spans="1:17">
      <c r="A426" t="s">
        <v>443</v>
      </c>
      <c r="B426" s="10">
        <v>45714</v>
      </c>
      <c r="C426" t="s">
        <v>24</v>
      </c>
      <c r="D426" t="s">
        <v>15</v>
      </c>
      <c r="E426">
        <v>8458.96</v>
      </c>
      <c r="F426">
        <v>6867.71</v>
      </c>
      <c r="G426" s="6">
        <v>151737</v>
      </c>
      <c r="H426" s="6">
        <v>6324</v>
      </c>
      <c r="I426" s="6">
        <v>1140</v>
      </c>
      <c r="J426">
        <v>39233.34</v>
      </c>
      <c r="K426">
        <f t="shared" si="46"/>
        <v>0.0416773759860812</v>
      </c>
      <c r="L426">
        <f t="shared" si="52"/>
        <v>1.08597564832385</v>
      </c>
      <c r="M426">
        <f t="shared" si="47"/>
        <v>6.02430701754386</v>
      </c>
      <c r="N426">
        <f t="shared" si="48"/>
        <v>5.71272520243283</v>
      </c>
      <c r="O426">
        <f t="shared" si="49"/>
        <v>32365.63</v>
      </c>
      <c r="P426">
        <f t="shared" si="50"/>
        <v>0.824952196269805</v>
      </c>
      <c r="Q426" t="str">
        <f t="shared" si="51"/>
        <v>2025-02</v>
      </c>
    </row>
    <row r="427" spans="1:17">
      <c r="A427" t="s">
        <v>444</v>
      </c>
      <c r="B427" s="10">
        <v>45672</v>
      </c>
      <c r="C427" t="s">
        <v>19</v>
      </c>
      <c r="D427" t="s">
        <v>12</v>
      </c>
      <c r="E427">
        <v>3734.51</v>
      </c>
      <c r="F427">
        <v>3258.78</v>
      </c>
      <c r="G427" s="6">
        <v>188031</v>
      </c>
      <c r="H427" s="6">
        <v>2257</v>
      </c>
      <c r="I427" s="6">
        <v>398</v>
      </c>
      <c r="J427">
        <v>19740.75</v>
      </c>
      <c r="K427">
        <f t="shared" si="46"/>
        <v>0.0120033398748079</v>
      </c>
      <c r="L427">
        <f t="shared" si="52"/>
        <v>1.44385467434648</v>
      </c>
      <c r="M427">
        <f t="shared" si="47"/>
        <v>8.18788944723618</v>
      </c>
      <c r="N427">
        <f t="shared" si="48"/>
        <v>6.05771178170972</v>
      </c>
      <c r="O427">
        <f t="shared" si="49"/>
        <v>16481.97</v>
      </c>
      <c r="P427">
        <f t="shared" si="50"/>
        <v>0.834921165609209</v>
      </c>
      <c r="Q427" t="str">
        <f t="shared" si="51"/>
        <v>2025-01</v>
      </c>
    </row>
    <row r="428" spans="1:17">
      <c r="A428" t="s">
        <v>445</v>
      </c>
      <c r="B428" s="10">
        <v>45759</v>
      </c>
      <c r="C428" t="s">
        <v>11</v>
      </c>
      <c r="D428" t="s">
        <v>15</v>
      </c>
      <c r="E428">
        <v>3997.47</v>
      </c>
      <c r="F428">
        <v>3796.26</v>
      </c>
      <c r="G428" s="6">
        <v>55760</v>
      </c>
      <c r="H428" s="6">
        <v>2026</v>
      </c>
      <c r="I428" s="6">
        <v>179</v>
      </c>
      <c r="J428">
        <v>6899.5</v>
      </c>
      <c r="K428">
        <f t="shared" si="46"/>
        <v>0.0363342898134864</v>
      </c>
      <c r="L428">
        <f t="shared" si="52"/>
        <v>1.87377097729516</v>
      </c>
      <c r="M428">
        <f t="shared" si="47"/>
        <v>21.208156424581</v>
      </c>
      <c r="N428">
        <f t="shared" si="48"/>
        <v>1.81744664485573</v>
      </c>
      <c r="O428">
        <f t="shared" si="49"/>
        <v>3103.24</v>
      </c>
      <c r="P428">
        <f t="shared" si="50"/>
        <v>0.449777520110153</v>
      </c>
      <c r="Q428" t="str">
        <f t="shared" si="51"/>
        <v>2025-04</v>
      </c>
    </row>
    <row r="429" spans="1:17">
      <c r="A429" t="s">
        <v>446</v>
      </c>
      <c r="B429" s="10">
        <v>45799</v>
      </c>
      <c r="C429" t="s">
        <v>24</v>
      </c>
      <c r="D429" t="s">
        <v>12</v>
      </c>
      <c r="E429">
        <v>7917.25</v>
      </c>
      <c r="F429">
        <v>7663.06</v>
      </c>
      <c r="G429" s="6">
        <v>94851</v>
      </c>
      <c r="H429" s="6">
        <v>2639</v>
      </c>
      <c r="I429" s="6">
        <v>396</v>
      </c>
      <c r="J429">
        <v>8036.08</v>
      </c>
      <c r="K429">
        <f t="shared" si="46"/>
        <v>0.0278225848963111</v>
      </c>
      <c r="L429">
        <f t="shared" si="52"/>
        <v>2.90377415687761</v>
      </c>
      <c r="M429">
        <f t="shared" si="47"/>
        <v>19.3511616161616</v>
      </c>
      <c r="N429">
        <f t="shared" si="48"/>
        <v>1.04867768228358</v>
      </c>
      <c r="O429">
        <f t="shared" si="49"/>
        <v>373.02</v>
      </c>
      <c r="P429">
        <f t="shared" si="50"/>
        <v>0.0464181541248967</v>
      </c>
      <c r="Q429" t="str">
        <f t="shared" si="51"/>
        <v>2025-05</v>
      </c>
    </row>
    <row r="430" spans="1:17">
      <c r="A430" t="s">
        <v>447</v>
      </c>
      <c r="B430" s="10">
        <v>45804</v>
      </c>
      <c r="C430" t="s">
        <v>14</v>
      </c>
      <c r="D430" t="s">
        <v>15</v>
      </c>
      <c r="E430">
        <v>5285.23</v>
      </c>
      <c r="F430">
        <v>5049.05</v>
      </c>
      <c r="G430" s="6">
        <v>134423</v>
      </c>
      <c r="H430" s="6">
        <v>2548</v>
      </c>
      <c r="I430" s="6">
        <v>363</v>
      </c>
      <c r="J430">
        <v>8216.87</v>
      </c>
      <c r="K430">
        <f t="shared" si="46"/>
        <v>0.0189550895308095</v>
      </c>
      <c r="L430">
        <f t="shared" si="52"/>
        <v>1.9815737833595</v>
      </c>
      <c r="M430">
        <f t="shared" si="47"/>
        <v>13.9092286501377</v>
      </c>
      <c r="N430">
        <f t="shared" si="48"/>
        <v>1.62740911656648</v>
      </c>
      <c r="O430">
        <f t="shared" si="49"/>
        <v>3167.82</v>
      </c>
      <c r="P430">
        <f t="shared" si="50"/>
        <v>0.385526362227953</v>
      </c>
      <c r="Q430" t="str">
        <f t="shared" si="51"/>
        <v>2025-05</v>
      </c>
    </row>
    <row r="431" spans="1:17">
      <c r="A431" t="s">
        <v>448</v>
      </c>
      <c r="B431" s="10">
        <v>45713</v>
      </c>
      <c r="C431" t="s">
        <v>22</v>
      </c>
      <c r="D431" t="s">
        <v>17</v>
      </c>
      <c r="E431">
        <v>5454.39</v>
      </c>
      <c r="F431">
        <v>4417.84</v>
      </c>
      <c r="G431" s="6">
        <v>111462</v>
      </c>
      <c r="H431" s="6">
        <v>5187</v>
      </c>
      <c r="I431" s="6">
        <v>280</v>
      </c>
      <c r="J431">
        <v>6260.06</v>
      </c>
      <c r="K431">
        <f t="shared" si="46"/>
        <v>0.0465360391882435</v>
      </c>
      <c r="L431">
        <f t="shared" si="52"/>
        <v>0.851713900134953</v>
      </c>
      <c r="M431">
        <f t="shared" si="47"/>
        <v>15.778</v>
      </c>
      <c r="N431">
        <f t="shared" si="48"/>
        <v>1.41699563587636</v>
      </c>
      <c r="O431">
        <f t="shared" si="49"/>
        <v>1842.22</v>
      </c>
      <c r="P431">
        <f t="shared" si="50"/>
        <v>0.294281524458232</v>
      </c>
      <c r="Q431" t="str">
        <f t="shared" si="51"/>
        <v>2025-02</v>
      </c>
    </row>
    <row r="432" spans="1:17">
      <c r="A432" t="s">
        <v>449</v>
      </c>
      <c r="B432" s="10">
        <v>45697</v>
      </c>
      <c r="C432" t="s">
        <v>19</v>
      </c>
      <c r="D432" t="s">
        <v>15</v>
      </c>
      <c r="E432">
        <v>5778.46</v>
      </c>
      <c r="F432">
        <v>4852.84</v>
      </c>
      <c r="G432" s="6">
        <v>102748</v>
      </c>
      <c r="H432" s="6">
        <v>1293</v>
      </c>
      <c r="I432" s="6">
        <v>60</v>
      </c>
      <c r="J432">
        <v>2221.57</v>
      </c>
      <c r="K432">
        <f t="shared" si="46"/>
        <v>0.0125841865535096</v>
      </c>
      <c r="L432">
        <f t="shared" si="52"/>
        <v>3.75316318638824</v>
      </c>
      <c r="M432">
        <f t="shared" si="47"/>
        <v>80.8806666666667</v>
      </c>
      <c r="N432">
        <f t="shared" si="48"/>
        <v>0.457787604784003</v>
      </c>
      <c r="O432">
        <f t="shared" si="49"/>
        <v>-2631.27</v>
      </c>
      <c r="P432">
        <f t="shared" si="50"/>
        <v>-1.18441912701378</v>
      </c>
      <c r="Q432" t="str">
        <f t="shared" si="51"/>
        <v>2025-02</v>
      </c>
    </row>
    <row r="433" spans="1:17">
      <c r="A433" t="s">
        <v>450</v>
      </c>
      <c r="B433" s="10">
        <v>45768</v>
      </c>
      <c r="C433" t="s">
        <v>11</v>
      </c>
      <c r="D433" t="s">
        <v>17</v>
      </c>
      <c r="E433">
        <v>7826.25</v>
      </c>
      <c r="F433">
        <v>8140.68</v>
      </c>
      <c r="G433" s="6">
        <v>180765</v>
      </c>
      <c r="H433" s="6">
        <v>5270</v>
      </c>
      <c r="I433" s="6">
        <v>513</v>
      </c>
      <c r="J433">
        <v>13340.31</v>
      </c>
      <c r="K433">
        <f t="shared" si="46"/>
        <v>0.029153873814068</v>
      </c>
      <c r="L433">
        <f t="shared" si="52"/>
        <v>1.5447210626186</v>
      </c>
      <c r="M433">
        <f t="shared" si="47"/>
        <v>15.8687719298246</v>
      </c>
      <c r="N433">
        <f t="shared" si="48"/>
        <v>1.63872182667787</v>
      </c>
      <c r="O433">
        <f t="shared" si="49"/>
        <v>5199.63</v>
      </c>
      <c r="P433">
        <f t="shared" si="50"/>
        <v>0.389768303735071</v>
      </c>
      <c r="Q433" t="str">
        <f t="shared" si="51"/>
        <v>2025-04</v>
      </c>
    </row>
    <row r="434" spans="1:17">
      <c r="A434" t="s">
        <v>451</v>
      </c>
      <c r="B434" s="10">
        <v>45748</v>
      </c>
      <c r="C434" t="s">
        <v>11</v>
      </c>
      <c r="D434" t="s">
        <v>15</v>
      </c>
      <c r="E434">
        <v>4172.38</v>
      </c>
      <c r="F434">
        <v>3468.79</v>
      </c>
      <c r="G434" s="6">
        <v>143614</v>
      </c>
      <c r="H434" s="6">
        <v>4002</v>
      </c>
      <c r="I434" s="6">
        <v>362</v>
      </c>
      <c r="J434">
        <v>14151.63</v>
      </c>
      <c r="K434">
        <f t="shared" si="46"/>
        <v>0.0278663640035094</v>
      </c>
      <c r="L434">
        <f t="shared" si="52"/>
        <v>0.866764117941029</v>
      </c>
      <c r="M434">
        <f t="shared" si="47"/>
        <v>9.58229281767956</v>
      </c>
      <c r="N434">
        <f t="shared" si="48"/>
        <v>4.07970214397528</v>
      </c>
      <c r="O434">
        <f t="shared" si="49"/>
        <v>10682.84</v>
      </c>
      <c r="P434">
        <f t="shared" si="50"/>
        <v>0.754884066358434</v>
      </c>
      <c r="Q434" t="str">
        <f t="shared" si="51"/>
        <v>2025-04</v>
      </c>
    </row>
    <row r="435" spans="1:17">
      <c r="A435" t="s">
        <v>452</v>
      </c>
      <c r="B435" s="10">
        <v>45804</v>
      </c>
      <c r="C435" t="s">
        <v>14</v>
      </c>
      <c r="D435" t="s">
        <v>17</v>
      </c>
      <c r="E435">
        <v>7945.33</v>
      </c>
      <c r="F435">
        <v>6431.55</v>
      </c>
      <c r="G435" s="6">
        <v>174898</v>
      </c>
      <c r="H435" s="6">
        <v>7877</v>
      </c>
      <c r="I435" s="6">
        <v>806</v>
      </c>
      <c r="J435">
        <v>38757.61</v>
      </c>
      <c r="K435">
        <f t="shared" si="46"/>
        <v>0.0450376791043923</v>
      </c>
      <c r="L435">
        <f t="shared" si="52"/>
        <v>0.816497397486353</v>
      </c>
      <c r="M435">
        <f t="shared" si="47"/>
        <v>7.9795905707196</v>
      </c>
      <c r="N435">
        <f t="shared" si="48"/>
        <v>6.02616943038614</v>
      </c>
      <c r="O435">
        <f t="shared" si="49"/>
        <v>32326.06</v>
      </c>
      <c r="P435">
        <f t="shared" si="50"/>
        <v>0.834057105172378</v>
      </c>
      <c r="Q435" t="str">
        <f t="shared" si="51"/>
        <v>2025-05</v>
      </c>
    </row>
    <row r="436" spans="1:17">
      <c r="A436" t="s">
        <v>453</v>
      </c>
      <c r="B436" s="10">
        <v>45774</v>
      </c>
      <c r="C436" t="s">
        <v>22</v>
      </c>
      <c r="D436" t="s">
        <v>20</v>
      </c>
      <c r="E436">
        <v>3363.8</v>
      </c>
      <c r="F436">
        <v>3237.28</v>
      </c>
      <c r="G436" s="6">
        <v>179667</v>
      </c>
      <c r="H436" s="6">
        <v>3625</v>
      </c>
      <c r="I436" s="6">
        <v>357</v>
      </c>
      <c r="J436">
        <v>14734.04</v>
      </c>
      <c r="K436">
        <f t="shared" si="46"/>
        <v>0.0201762148864288</v>
      </c>
      <c r="L436">
        <f t="shared" si="52"/>
        <v>0.89304275862069</v>
      </c>
      <c r="M436">
        <f t="shared" si="47"/>
        <v>9.06801120448179</v>
      </c>
      <c r="N436">
        <f t="shared" si="48"/>
        <v>4.55136410814017</v>
      </c>
      <c r="O436">
        <f t="shared" si="49"/>
        <v>11496.76</v>
      </c>
      <c r="P436">
        <f t="shared" si="50"/>
        <v>0.780285651457441</v>
      </c>
      <c r="Q436" t="str">
        <f t="shared" si="51"/>
        <v>2025-04</v>
      </c>
    </row>
    <row r="437" spans="1:17">
      <c r="A437" t="s">
        <v>454</v>
      </c>
      <c r="B437" s="10">
        <v>45653</v>
      </c>
      <c r="C437" t="s">
        <v>24</v>
      </c>
      <c r="D437" t="s">
        <v>12</v>
      </c>
      <c r="E437">
        <v>9096.78</v>
      </c>
      <c r="F437">
        <v>9226.19</v>
      </c>
      <c r="G437" s="6">
        <v>142353</v>
      </c>
      <c r="H437" s="6">
        <v>4745</v>
      </c>
      <c r="I437" s="6">
        <v>555</v>
      </c>
      <c r="J437">
        <v>24448.77</v>
      </c>
      <c r="K437">
        <f t="shared" si="46"/>
        <v>0.0333326308542848</v>
      </c>
      <c r="L437">
        <f t="shared" si="52"/>
        <v>1.94440252897787</v>
      </c>
      <c r="M437">
        <f t="shared" si="47"/>
        <v>16.6237657657658</v>
      </c>
      <c r="N437">
        <f t="shared" si="48"/>
        <v>2.64993133677065</v>
      </c>
      <c r="O437">
        <f t="shared" si="49"/>
        <v>15222.58</v>
      </c>
      <c r="P437">
        <f t="shared" si="50"/>
        <v>0.622631731575862</v>
      </c>
      <c r="Q437" t="str">
        <f t="shared" si="51"/>
        <v>2024-12</v>
      </c>
    </row>
    <row r="438" spans="1:17">
      <c r="A438" t="s">
        <v>455</v>
      </c>
      <c r="B438" s="10">
        <v>45811</v>
      </c>
      <c r="C438" t="s">
        <v>19</v>
      </c>
      <c r="D438" t="s">
        <v>15</v>
      </c>
      <c r="E438">
        <v>5376.15</v>
      </c>
      <c r="F438">
        <v>5615.11</v>
      </c>
      <c r="G438" s="6">
        <v>161295</v>
      </c>
      <c r="H438" s="6">
        <v>7131</v>
      </c>
      <c r="I438" s="6">
        <v>124</v>
      </c>
      <c r="J438">
        <v>2778.03</v>
      </c>
      <c r="K438">
        <f t="shared" si="46"/>
        <v>0.0442109178833814</v>
      </c>
      <c r="L438">
        <f t="shared" si="52"/>
        <v>0.7874225213855</v>
      </c>
      <c r="M438">
        <f t="shared" si="47"/>
        <v>45.2831451612903</v>
      </c>
      <c r="N438">
        <f t="shared" si="48"/>
        <v>0.494741866143317</v>
      </c>
      <c r="O438">
        <f t="shared" si="49"/>
        <v>-2837.08</v>
      </c>
      <c r="P438">
        <f t="shared" si="50"/>
        <v>-1.02125606994885</v>
      </c>
      <c r="Q438" t="str">
        <f t="shared" si="51"/>
        <v>2025-06</v>
      </c>
    </row>
    <row r="439" spans="1:17">
      <c r="A439" t="s">
        <v>456</v>
      </c>
      <c r="B439" s="10">
        <v>45803</v>
      </c>
      <c r="C439" t="s">
        <v>11</v>
      </c>
      <c r="D439" t="s">
        <v>17</v>
      </c>
      <c r="E439">
        <v>9263.72</v>
      </c>
      <c r="F439">
        <v>8932.8</v>
      </c>
      <c r="G439" s="6">
        <v>72755</v>
      </c>
      <c r="H439" s="6">
        <v>2170</v>
      </c>
      <c r="I439" s="6">
        <v>58</v>
      </c>
      <c r="J439">
        <v>2582.1</v>
      </c>
      <c r="K439">
        <f t="shared" si="46"/>
        <v>0.0298261287883994</v>
      </c>
      <c r="L439">
        <f t="shared" si="52"/>
        <v>4.11649769585253</v>
      </c>
      <c r="M439">
        <f t="shared" si="47"/>
        <v>154.013793103448</v>
      </c>
      <c r="N439">
        <f t="shared" si="48"/>
        <v>0.289058301988178</v>
      </c>
      <c r="O439">
        <f t="shared" si="49"/>
        <v>-6350.7</v>
      </c>
      <c r="P439">
        <f t="shared" si="50"/>
        <v>-2.45950970140583</v>
      </c>
      <c r="Q439" t="str">
        <f t="shared" si="51"/>
        <v>2025-05</v>
      </c>
    </row>
    <row r="440" spans="1:17">
      <c r="A440" t="s">
        <v>457</v>
      </c>
      <c r="B440" s="10">
        <v>45765</v>
      </c>
      <c r="C440" t="s">
        <v>22</v>
      </c>
      <c r="D440" t="s">
        <v>20</v>
      </c>
      <c r="E440">
        <v>6166.23</v>
      </c>
      <c r="F440">
        <v>6123.52</v>
      </c>
      <c r="G440" s="6">
        <v>136413</v>
      </c>
      <c r="H440" s="6">
        <v>3434</v>
      </c>
      <c r="I440" s="6">
        <v>635</v>
      </c>
      <c r="J440">
        <v>22727.97</v>
      </c>
      <c r="K440">
        <f t="shared" si="46"/>
        <v>0.0251735538401765</v>
      </c>
      <c r="L440">
        <f t="shared" si="52"/>
        <v>1.78320326150262</v>
      </c>
      <c r="M440">
        <f t="shared" si="47"/>
        <v>9.64333858267717</v>
      </c>
      <c r="N440">
        <f t="shared" si="48"/>
        <v>3.71158581992057</v>
      </c>
      <c r="O440">
        <f t="shared" si="49"/>
        <v>16604.45</v>
      </c>
      <c r="P440">
        <f t="shared" si="50"/>
        <v>0.730573386008517</v>
      </c>
      <c r="Q440" t="str">
        <f t="shared" si="51"/>
        <v>2025-04</v>
      </c>
    </row>
    <row r="441" spans="1:17">
      <c r="A441" t="s">
        <v>458</v>
      </c>
      <c r="B441" s="10">
        <v>45707</v>
      </c>
      <c r="C441" t="s">
        <v>24</v>
      </c>
      <c r="D441" t="s">
        <v>17</v>
      </c>
      <c r="E441">
        <v>8121.13</v>
      </c>
      <c r="F441">
        <v>6695.78</v>
      </c>
      <c r="G441" s="6">
        <v>190122</v>
      </c>
      <c r="H441" s="6">
        <v>2084</v>
      </c>
      <c r="I441" s="6">
        <v>362</v>
      </c>
      <c r="J441">
        <v>7895.42</v>
      </c>
      <c r="K441">
        <f t="shared" si="46"/>
        <v>0.0109613826911141</v>
      </c>
      <c r="L441">
        <f t="shared" si="52"/>
        <v>3.2129462571977</v>
      </c>
      <c r="M441">
        <f t="shared" si="47"/>
        <v>18.4966298342541</v>
      </c>
      <c r="N441">
        <f t="shared" si="48"/>
        <v>1.17916359259115</v>
      </c>
      <c r="O441">
        <f t="shared" si="49"/>
        <v>1199.64</v>
      </c>
      <c r="P441">
        <f t="shared" si="50"/>
        <v>0.151941252016992</v>
      </c>
      <c r="Q441" t="str">
        <f t="shared" si="51"/>
        <v>2025-02</v>
      </c>
    </row>
    <row r="442" spans="1:17">
      <c r="A442" t="s">
        <v>459</v>
      </c>
      <c r="B442" s="10">
        <v>45667</v>
      </c>
      <c r="C442" t="s">
        <v>22</v>
      </c>
      <c r="D442" t="s">
        <v>12</v>
      </c>
      <c r="E442">
        <v>4729.72</v>
      </c>
      <c r="F442">
        <v>4010.16</v>
      </c>
      <c r="G442" s="6">
        <v>84930</v>
      </c>
      <c r="H442" s="6">
        <v>1915</v>
      </c>
      <c r="I442" s="6">
        <v>303</v>
      </c>
      <c r="J442">
        <v>13984.51</v>
      </c>
      <c r="K442">
        <f t="shared" si="46"/>
        <v>0.02254798068998</v>
      </c>
      <c r="L442">
        <f t="shared" si="52"/>
        <v>2.09407832898172</v>
      </c>
      <c r="M442">
        <f t="shared" si="47"/>
        <v>13.2348514851485</v>
      </c>
      <c r="N442">
        <f t="shared" si="48"/>
        <v>3.48726983462006</v>
      </c>
      <c r="O442">
        <f t="shared" si="49"/>
        <v>9974.35</v>
      </c>
      <c r="P442">
        <f t="shared" si="50"/>
        <v>0.713242723556278</v>
      </c>
      <c r="Q442" t="str">
        <f t="shared" si="51"/>
        <v>2025-01</v>
      </c>
    </row>
    <row r="443" spans="1:17">
      <c r="A443" t="s">
        <v>460</v>
      </c>
      <c r="B443" s="10">
        <v>45671</v>
      </c>
      <c r="C443" t="s">
        <v>11</v>
      </c>
      <c r="D443" t="s">
        <v>12</v>
      </c>
      <c r="E443">
        <v>4534.5</v>
      </c>
      <c r="F443">
        <v>4955.12</v>
      </c>
      <c r="G443" s="6">
        <v>120822</v>
      </c>
      <c r="H443" s="6">
        <v>1992</v>
      </c>
      <c r="I443" s="6">
        <v>277</v>
      </c>
      <c r="J443">
        <v>8339.6</v>
      </c>
      <c r="K443">
        <f t="shared" si="46"/>
        <v>0.0164870636142424</v>
      </c>
      <c r="L443">
        <f t="shared" si="52"/>
        <v>2.48751004016064</v>
      </c>
      <c r="M443">
        <f t="shared" si="47"/>
        <v>17.8885198555957</v>
      </c>
      <c r="N443">
        <f t="shared" si="48"/>
        <v>1.68302684899659</v>
      </c>
      <c r="O443">
        <f t="shared" si="49"/>
        <v>3384.48</v>
      </c>
      <c r="P443">
        <f t="shared" si="50"/>
        <v>0.405832414024653</v>
      </c>
      <c r="Q443" t="str">
        <f t="shared" si="51"/>
        <v>2025-01</v>
      </c>
    </row>
    <row r="444" spans="1:17">
      <c r="A444" t="s">
        <v>461</v>
      </c>
      <c r="B444" s="10">
        <v>45724</v>
      </c>
      <c r="C444" t="s">
        <v>19</v>
      </c>
      <c r="D444" t="s">
        <v>12</v>
      </c>
      <c r="E444">
        <v>4274.83</v>
      </c>
      <c r="F444">
        <v>4432.61</v>
      </c>
      <c r="G444" s="6">
        <v>108943</v>
      </c>
      <c r="H444" s="6">
        <v>3924</v>
      </c>
      <c r="I444" s="6">
        <v>687</v>
      </c>
      <c r="J444">
        <v>27315.97</v>
      </c>
      <c r="K444">
        <f t="shared" si="46"/>
        <v>0.0360188355378501</v>
      </c>
      <c r="L444">
        <f t="shared" si="52"/>
        <v>1.12961518858308</v>
      </c>
      <c r="M444">
        <f t="shared" si="47"/>
        <v>6.45212518195051</v>
      </c>
      <c r="N444">
        <f t="shared" si="48"/>
        <v>6.16250245340781</v>
      </c>
      <c r="O444">
        <f t="shared" si="49"/>
        <v>22883.36</v>
      </c>
      <c r="P444">
        <f t="shared" si="50"/>
        <v>0.837728259329616</v>
      </c>
      <c r="Q444" t="str">
        <f t="shared" si="51"/>
        <v>2025-03</v>
      </c>
    </row>
    <row r="445" spans="1:17">
      <c r="A445" t="s">
        <v>462</v>
      </c>
      <c r="B445" s="10">
        <v>45735</v>
      </c>
      <c r="C445" t="s">
        <v>24</v>
      </c>
      <c r="D445" t="s">
        <v>15</v>
      </c>
      <c r="E445">
        <v>6487.37</v>
      </c>
      <c r="F445">
        <v>6270.75</v>
      </c>
      <c r="G445" s="6">
        <v>145244</v>
      </c>
      <c r="H445" s="6">
        <v>7015</v>
      </c>
      <c r="I445" s="6">
        <v>623</v>
      </c>
      <c r="J445">
        <v>25901.88</v>
      </c>
      <c r="K445">
        <f t="shared" si="46"/>
        <v>0.0482980364077001</v>
      </c>
      <c r="L445">
        <f t="shared" si="52"/>
        <v>0.893905915894512</v>
      </c>
      <c r="M445">
        <f t="shared" si="47"/>
        <v>10.0654093097913</v>
      </c>
      <c r="N445">
        <f t="shared" si="48"/>
        <v>4.13058725032891</v>
      </c>
      <c r="O445">
        <f t="shared" si="49"/>
        <v>19631.13</v>
      </c>
      <c r="P445">
        <f t="shared" si="50"/>
        <v>0.757903673401313</v>
      </c>
      <c r="Q445" t="str">
        <f t="shared" si="51"/>
        <v>2025-03</v>
      </c>
    </row>
    <row r="446" spans="1:17">
      <c r="A446" t="s">
        <v>463</v>
      </c>
      <c r="B446" s="10">
        <v>45679</v>
      </c>
      <c r="C446" t="s">
        <v>22</v>
      </c>
      <c r="D446" t="s">
        <v>12</v>
      </c>
      <c r="E446">
        <v>4599.18</v>
      </c>
      <c r="F446">
        <v>5054.04</v>
      </c>
      <c r="G446" s="6">
        <v>174584</v>
      </c>
      <c r="H446" s="6">
        <v>5659</v>
      </c>
      <c r="I446" s="6">
        <v>91</v>
      </c>
      <c r="J446">
        <v>4481.19</v>
      </c>
      <c r="K446">
        <f t="shared" si="46"/>
        <v>0.0324141960317097</v>
      </c>
      <c r="L446">
        <f t="shared" si="52"/>
        <v>0.893097720445308</v>
      </c>
      <c r="M446">
        <f t="shared" si="47"/>
        <v>55.5389010989011</v>
      </c>
      <c r="N446">
        <f t="shared" si="48"/>
        <v>0.886655032409716</v>
      </c>
      <c r="O446">
        <f t="shared" si="49"/>
        <v>-572.85</v>
      </c>
      <c r="P446">
        <f t="shared" si="50"/>
        <v>-0.127834347572855</v>
      </c>
      <c r="Q446" t="str">
        <f t="shared" si="51"/>
        <v>2025-01</v>
      </c>
    </row>
    <row r="447" spans="1:17">
      <c r="A447" t="s">
        <v>464</v>
      </c>
      <c r="B447" s="10">
        <v>45742</v>
      </c>
      <c r="C447" t="s">
        <v>22</v>
      </c>
      <c r="D447" t="s">
        <v>17</v>
      </c>
      <c r="E447">
        <v>7552.28</v>
      </c>
      <c r="F447">
        <v>6493.92</v>
      </c>
      <c r="G447" s="6">
        <v>187179</v>
      </c>
      <c r="H447" s="6">
        <v>9269</v>
      </c>
      <c r="I447" s="6">
        <v>1087</v>
      </c>
      <c r="J447">
        <v>43922.24</v>
      </c>
      <c r="K447">
        <f t="shared" si="46"/>
        <v>0.0495194439547171</v>
      </c>
      <c r="L447">
        <f t="shared" si="52"/>
        <v>0.700606322149099</v>
      </c>
      <c r="M447">
        <f t="shared" si="47"/>
        <v>5.97416743330267</v>
      </c>
      <c r="N447">
        <f t="shared" si="48"/>
        <v>6.76359425431788</v>
      </c>
      <c r="O447">
        <f t="shared" si="49"/>
        <v>37428.32</v>
      </c>
      <c r="P447">
        <f t="shared" si="50"/>
        <v>0.852149617141567</v>
      </c>
      <c r="Q447" t="str">
        <f t="shared" si="51"/>
        <v>2025-03</v>
      </c>
    </row>
    <row r="448" spans="1:17">
      <c r="A448" t="s">
        <v>465</v>
      </c>
      <c r="B448" s="10">
        <v>45710</v>
      </c>
      <c r="C448" t="s">
        <v>24</v>
      </c>
      <c r="D448" t="s">
        <v>20</v>
      </c>
      <c r="E448">
        <v>3505.39</v>
      </c>
      <c r="F448">
        <v>2836.55</v>
      </c>
      <c r="G448" s="6">
        <v>113319</v>
      </c>
      <c r="H448" s="6">
        <v>2346</v>
      </c>
      <c r="I448" s="6">
        <v>225</v>
      </c>
      <c r="J448">
        <v>6239.36</v>
      </c>
      <c r="K448">
        <f t="shared" si="46"/>
        <v>0.0207026182723109</v>
      </c>
      <c r="L448">
        <f t="shared" si="52"/>
        <v>1.20910059676044</v>
      </c>
      <c r="M448">
        <f t="shared" si="47"/>
        <v>12.6068888888889</v>
      </c>
      <c r="N448">
        <f t="shared" si="48"/>
        <v>2.19962983201424</v>
      </c>
      <c r="O448">
        <f t="shared" si="49"/>
        <v>3402.81</v>
      </c>
      <c r="P448">
        <f t="shared" si="50"/>
        <v>0.545378051595035</v>
      </c>
      <c r="Q448" t="str">
        <f t="shared" si="51"/>
        <v>2025-02</v>
      </c>
    </row>
    <row r="449" spans="1:17">
      <c r="A449" t="s">
        <v>466</v>
      </c>
      <c r="B449" s="10">
        <v>45719</v>
      </c>
      <c r="C449" t="s">
        <v>11</v>
      </c>
      <c r="D449" t="s">
        <v>17</v>
      </c>
      <c r="E449">
        <v>6238.36</v>
      </c>
      <c r="F449">
        <v>6615.67</v>
      </c>
      <c r="G449" s="6">
        <v>97411</v>
      </c>
      <c r="H449" s="6">
        <v>2282</v>
      </c>
      <c r="I449" s="6">
        <v>391</v>
      </c>
      <c r="J449">
        <v>16349.69</v>
      </c>
      <c r="K449">
        <f t="shared" si="46"/>
        <v>0.0234265124061964</v>
      </c>
      <c r="L449">
        <f t="shared" si="52"/>
        <v>2.89906660823839</v>
      </c>
      <c r="M449">
        <f t="shared" si="47"/>
        <v>16.9198721227621</v>
      </c>
      <c r="N449">
        <f t="shared" si="48"/>
        <v>2.47135815420056</v>
      </c>
      <c r="O449">
        <f t="shared" si="49"/>
        <v>9734.02</v>
      </c>
      <c r="P449">
        <f t="shared" si="50"/>
        <v>0.595364193449539</v>
      </c>
      <c r="Q449" t="str">
        <f t="shared" si="51"/>
        <v>2025-03</v>
      </c>
    </row>
    <row r="450" spans="1:17">
      <c r="A450" t="s">
        <v>467</v>
      </c>
      <c r="B450" s="10">
        <v>45798</v>
      </c>
      <c r="C450" t="s">
        <v>14</v>
      </c>
      <c r="D450" t="s">
        <v>17</v>
      </c>
      <c r="E450">
        <v>8198.95</v>
      </c>
      <c r="F450">
        <v>7605.74</v>
      </c>
      <c r="G450" s="6">
        <v>172776</v>
      </c>
      <c r="H450" s="6">
        <v>7965</v>
      </c>
      <c r="I450" s="6">
        <v>101</v>
      </c>
      <c r="J450">
        <v>3068.18</v>
      </c>
      <c r="K450">
        <f t="shared" si="46"/>
        <v>0.0461001527989999</v>
      </c>
      <c r="L450">
        <f t="shared" si="52"/>
        <v>0.954895166352793</v>
      </c>
      <c r="M450">
        <f t="shared" si="47"/>
        <v>75.3043564356436</v>
      </c>
      <c r="N450">
        <f t="shared" si="48"/>
        <v>0.403403219147644</v>
      </c>
      <c r="O450">
        <f t="shared" si="49"/>
        <v>-4537.56</v>
      </c>
      <c r="P450">
        <f t="shared" si="50"/>
        <v>-1.47890932083515</v>
      </c>
      <c r="Q450" t="str">
        <f t="shared" si="51"/>
        <v>2025-05</v>
      </c>
    </row>
    <row r="451" spans="1:17">
      <c r="A451" t="s">
        <v>468</v>
      </c>
      <c r="B451" s="10">
        <v>45758</v>
      </c>
      <c r="C451" t="s">
        <v>11</v>
      </c>
      <c r="D451" t="s">
        <v>15</v>
      </c>
      <c r="E451">
        <v>5597.27</v>
      </c>
      <c r="F451">
        <v>6136.26</v>
      </c>
      <c r="G451" s="6">
        <v>117252</v>
      </c>
      <c r="H451" s="6">
        <v>4476</v>
      </c>
      <c r="I451" s="6">
        <v>461</v>
      </c>
      <c r="J451">
        <v>9774.71</v>
      </c>
      <c r="K451">
        <f t="shared" ref="K451:K501" si="53">H451/G451</f>
        <v>0.0381741889264149</v>
      </c>
      <c r="L451">
        <f t="shared" si="52"/>
        <v>1.37092493297587</v>
      </c>
      <c r="M451">
        <f t="shared" ref="M451:M501" si="54">F451/I451</f>
        <v>13.3107592190889</v>
      </c>
      <c r="N451">
        <f t="shared" ref="N451:N501" si="55">J451/F451</f>
        <v>1.5929426067344</v>
      </c>
      <c r="O451">
        <f t="shared" ref="O451:O501" si="56">J451-F451</f>
        <v>3638.45</v>
      </c>
      <c r="P451">
        <f t="shared" ref="P451:P501" si="57">O451/J451</f>
        <v>0.372230992019201</v>
      </c>
      <c r="Q451" t="str">
        <f t="shared" ref="Q451:Q501" si="58">TEXT(B451,"yyyy-mm")</f>
        <v>2025-04</v>
      </c>
    </row>
    <row r="452" spans="1:17">
      <c r="A452" t="s">
        <v>469</v>
      </c>
      <c r="B452" s="10">
        <v>45687</v>
      </c>
      <c r="C452" t="s">
        <v>19</v>
      </c>
      <c r="D452" t="s">
        <v>15</v>
      </c>
      <c r="E452">
        <v>9069.22</v>
      </c>
      <c r="F452">
        <v>8829.82</v>
      </c>
      <c r="G452" s="6">
        <v>149827</v>
      </c>
      <c r="H452" s="6">
        <v>5041</v>
      </c>
      <c r="I452" s="6">
        <v>104</v>
      </c>
      <c r="J452">
        <v>3448.48</v>
      </c>
      <c r="K452">
        <f t="shared" si="53"/>
        <v>0.0336454711100136</v>
      </c>
      <c r="L452">
        <f t="shared" si="52"/>
        <v>1.75160087284269</v>
      </c>
      <c r="M452">
        <f t="shared" si="54"/>
        <v>84.9021153846154</v>
      </c>
      <c r="N452">
        <f t="shared" si="55"/>
        <v>0.390549297720678</v>
      </c>
      <c r="O452">
        <f t="shared" si="56"/>
        <v>-5381.34</v>
      </c>
      <c r="P452">
        <f t="shared" si="57"/>
        <v>-1.56049621862386</v>
      </c>
      <c r="Q452" t="str">
        <f t="shared" si="58"/>
        <v>2025-01</v>
      </c>
    </row>
    <row r="453" spans="1:17">
      <c r="A453" t="s">
        <v>470</v>
      </c>
      <c r="B453" s="10">
        <v>45659</v>
      </c>
      <c r="C453" t="s">
        <v>24</v>
      </c>
      <c r="D453" t="s">
        <v>17</v>
      </c>
      <c r="E453">
        <v>8076.8</v>
      </c>
      <c r="F453">
        <v>7640.66</v>
      </c>
      <c r="G453" s="6">
        <v>148415</v>
      </c>
      <c r="H453" s="6">
        <v>5679</v>
      </c>
      <c r="I453" s="6">
        <v>1058</v>
      </c>
      <c r="J453">
        <v>48882.45</v>
      </c>
      <c r="K453">
        <f t="shared" si="53"/>
        <v>0.0382643263821042</v>
      </c>
      <c r="L453">
        <f t="shared" ref="L453:L501" si="59">F453/H453</f>
        <v>1.34542349005107</v>
      </c>
      <c r="M453">
        <f t="shared" si="54"/>
        <v>7.22179584120983</v>
      </c>
      <c r="N453">
        <f t="shared" si="55"/>
        <v>6.39767376116723</v>
      </c>
      <c r="O453">
        <f t="shared" si="56"/>
        <v>41241.79</v>
      </c>
      <c r="P453">
        <f t="shared" si="57"/>
        <v>0.843693186409437</v>
      </c>
      <c r="Q453" t="str">
        <f t="shared" si="58"/>
        <v>2025-01</v>
      </c>
    </row>
    <row r="454" spans="1:17">
      <c r="A454" t="s">
        <v>471</v>
      </c>
      <c r="B454" s="10">
        <v>45681</v>
      </c>
      <c r="C454" t="s">
        <v>19</v>
      </c>
      <c r="D454" t="s">
        <v>17</v>
      </c>
      <c r="E454">
        <v>9304.91</v>
      </c>
      <c r="F454">
        <v>8621.15</v>
      </c>
      <c r="G454" s="6">
        <v>96330</v>
      </c>
      <c r="H454" s="6">
        <v>1282</v>
      </c>
      <c r="I454" s="6">
        <v>150</v>
      </c>
      <c r="J454">
        <v>4245.73</v>
      </c>
      <c r="K454">
        <f t="shared" si="53"/>
        <v>0.0133084189764352</v>
      </c>
      <c r="L454">
        <f t="shared" si="59"/>
        <v>6.72476599063963</v>
      </c>
      <c r="M454">
        <f t="shared" si="54"/>
        <v>57.4743333333333</v>
      </c>
      <c r="N454">
        <f t="shared" si="55"/>
        <v>0.49247838165442</v>
      </c>
      <c r="O454">
        <f t="shared" si="56"/>
        <v>-4375.42</v>
      </c>
      <c r="P454">
        <f t="shared" si="57"/>
        <v>-1.0305459838473</v>
      </c>
      <c r="Q454" t="str">
        <f t="shared" si="58"/>
        <v>2025-01</v>
      </c>
    </row>
    <row r="455" spans="1:17">
      <c r="A455" t="s">
        <v>472</v>
      </c>
      <c r="B455" s="10">
        <v>45750</v>
      </c>
      <c r="C455" t="s">
        <v>11</v>
      </c>
      <c r="D455" t="s">
        <v>15</v>
      </c>
      <c r="E455">
        <v>7146.45</v>
      </c>
      <c r="F455">
        <v>7673.21</v>
      </c>
      <c r="G455" s="6">
        <v>96745</v>
      </c>
      <c r="H455" s="6">
        <v>2886</v>
      </c>
      <c r="I455" s="6">
        <v>402</v>
      </c>
      <c r="J455">
        <v>10580.59</v>
      </c>
      <c r="K455">
        <f t="shared" si="53"/>
        <v>0.0298309990180371</v>
      </c>
      <c r="L455">
        <f t="shared" si="59"/>
        <v>2.65876992376992</v>
      </c>
      <c r="M455">
        <f t="shared" si="54"/>
        <v>19.0875870646766</v>
      </c>
      <c r="N455">
        <f t="shared" si="55"/>
        <v>1.37890009526652</v>
      </c>
      <c r="O455">
        <f t="shared" si="56"/>
        <v>2907.38</v>
      </c>
      <c r="P455">
        <f t="shared" si="57"/>
        <v>0.274784298418141</v>
      </c>
      <c r="Q455" t="str">
        <f t="shared" si="58"/>
        <v>2025-04</v>
      </c>
    </row>
    <row r="456" spans="1:17">
      <c r="A456" t="s">
        <v>473</v>
      </c>
      <c r="B456" s="10">
        <v>45682</v>
      </c>
      <c r="C456" t="s">
        <v>24</v>
      </c>
      <c r="D456" t="s">
        <v>20</v>
      </c>
      <c r="E456">
        <v>7360.77</v>
      </c>
      <c r="F456">
        <v>7283.25</v>
      </c>
      <c r="G456" s="6">
        <v>66585</v>
      </c>
      <c r="H456" s="6">
        <v>3235</v>
      </c>
      <c r="I456" s="6">
        <v>641</v>
      </c>
      <c r="J456">
        <v>26917.76</v>
      </c>
      <c r="K456">
        <f t="shared" si="53"/>
        <v>0.0485845160321394</v>
      </c>
      <c r="L456">
        <f t="shared" si="59"/>
        <v>2.25139103554869</v>
      </c>
      <c r="M456">
        <f t="shared" si="54"/>
        <v>11.3623244929797</v>
      </c>
      <c r="N456">
        <f t="shared" si="55"/>
        <v>3.69584457488072</v>
      </c>
      <c r="O456">
        <f t="shared" si="56"/>
        <v>19634.51</v>
      </c>
      <c r="P456">
        <f t="shared" si="57"/>
        <v>0.72942585118524</v>
      </c>
      <c r="Q456" t="str">
        <f t="shared" si="58"/>
        <v>2025-01</v>
      </c>
    </row>
    <row r="457" spans="1:17">
      <c r="A457" t="s">
        <v>474</v>
      </c>
      <c r="B457" s="10">
        <v>45786</v>
      </c>
      <c r="C457" t="s">
        <v>11</v>
      </c>
      <c r="D457" t="s">
        <v>17</v>
      </c>
      <c r="E457">
        <v>3920.97</v>
      </c>
      <c r="F457">
        <v>3978.79</v>
      </c>
      <c r="G457" s="6">
        <v>192117</v>
      </c>
      <c r="H457" s="6">
        <v>4361</v>
      </c>
      <c r="I457" s="6">
        <v>98</v>
      </c>
      <c r="J457">
        <v>4632.56</v>
      </c>
      <c r="K457">
        <f t="shared" si="53"/>
        <v>0.0226997090314756</v>
      </c>
      <c r="L457">
        <f t="shared" si="59"/>
        <v>0.912357257509746</v>
      </c>
      <c r="M457">
        <f t="shared" si="54"/>
        <v>40.5998979591837</v>
      </c>
      <c r="N457">
        <f t="shared" si="55"/>
        <v>1.1643137737855</v>
      </c>
      <c r="O457">
        <f t="shared" si="56"/>
        <v>653.77</v>
      </c>
      <c r="P457">
        <f t="shared" si="57"/>
        <v>0.141124993524099</v>
      </c>
      <c r="Q457" t="str">
        <f t="shared" si="58"/>
        <v>2025-05</v>
      </c>
    </row>
    <row r="458" spans="1:17">
      <c r="A458" t="s">
        <v>475</v>
      </c>
      <c r="B458" s="10">
        <v>45686</v>
      </c>
      <c r="C458" t="s">
        <v>22</v>
      </c>
      <c r="D458" t="s">
        <v>20</v>
      </c>
      <c r="E458">
        <v>4257.78</v>
      </c>
      <c r="F458">
        <v>3709.65</v>
      </c>
      <c r="G458" s="6">
        <v>194804</v>
      </c>
      <c r="H458" s="6">
        <v>8803</v>
      </c>
      <c r="I458" s="6">
        <v>1231</v>
      </c>
      <c r="J458">
        <v>60493.62</v>
      </c>
      <c r="K458">
        <f t="shared" si="53"/>
        <v>0.0451890104925977</v>
      </c>
      <c r="L458">
        <f t="shared" si="59"/>
        <v>0.421407474724526</v>
      </c>
      <c r="M458">
        <f t="shared" si="54"/>
        <v>3.01352558895207</v>
      </c>
      <c r="N458">
        <f t="shared" si="55"/>
        <v>16.3070963567992</v>
      </c>
      <c r="O458">
        <f t="shared" si="56"/>
        <v>56783.97</v>
      </c>
      <c r="P458">
        <f t="shared" si="57"/>
        <v>0.938677004285741</v>
      </c>
      <c r="Q458" t="str">
        <f t="shared" si="58"/>
        <v>2025-01</v>
      </c>
    </row>
    <row r="459" spans="1:17">
      <c r="A459" t="s">
        <v>476</v>
      </c>
      <c r="B459" s="10">
        <v>45670</v>
      </c>
      <c r="C459" t="s">
        <v>24</v>
      </c>
      <c r="D459" t="s">
        <v>15</v>
      </c>
      <c r="E459">
        <v>4266.84</v>
      </c>
      <c r="F459">
        <v>4507.13</v>
      </c>
      <c r="G459" s="6">
        <v>91032</v>
      </c>
      <c r="H459" s="6">
        <v>3308</v>
      </c>
      <c r="I459" s="6">
        <v>330</v>
      </c>
      <c r="J459">
        <v>11473.55</v>
      </c>
      <c r="K459">
        <f t="shared" si="53"/>
        <v>0.0363388698479655</v>
      </c>
      <c r="L459">
        <f t="shared" si="59"/>
        <v>1.36249395405079</v>
      </c>
      <c r="M459">
        <f t="shared" si="54"/>
        <v>13.6579696969697</v>
      </c>
      <c r="N459">
        <f t="shared" si="55"/>
        <v>2.54564434573664</v>
      </c>
      <c r="O459">
        <f t="shared" si="56"/>
        <v>6966.42</v>
      </c>
      <c r="P459">
        <f t="shared" si="57"/>
        <v>0.607172148114577</v>
      </c>
      <c r="Q459" t="str">
        <f t="shared" si="58"/>
        <v>2025-01</v>
      </c>
    </row>
    <row r="460" spans="1:17">
      <c r="A460" t="s">
        <v>477</v>
      </c>
      <c r="B460" s="10">
        <v>45739</v>
      </c>
      <c r="C460" t="s">
        <v>11</v>
      </c>
      <c r="D460" t="s">
        <v>20</v>
      </c>
      <c r="E460">
        <v>4730.62</v>
      </c>
      <c r="F460">
        <v>5020.25</v>
      </c>
      <c r="G460" s="6">
        <v>116506</v>
      </c>
      <c r="H460" s="6">
        <v>4331</v>
      </c>
      <c r="I460" s="6">
        <v>122</v>
      </c>
      <c r="J460">
        <v>4069.82</v>
      </c>
      <c r="K460">
        <f t="shared" si="53"/>
        <v>0.0371740511218306</v>
      </c>
      <c r="L460">
        <f t="shared" si="59"/>
        <v>1.15914338489956</v>
      </c>
      <c r="M460">
        <f t="shared" si="54"/>
        <v>41.1495901639344</v>
      </c>
      <c r="N460">
        <f t="shared" si="55"/>
        <v>0.810680742990887</v>
      </c>
      <c r="O460">
        <f t="shared" si="56"/>
        <v>-950.43</v>
      </c>
      <c r="P460">
        <f t="shared" si="57"/>
        <v>-0.233531212682625</v>
      </c>
      <c r="Q460" t="str">
        <f t="shared" si="58"/>
        <v>2025-03</v>
      </c>
    </row>
    <row r="461" spans="1:17">
      <c r="A461" t="s">
        <v>478</v>
      </c>
      <c r="B461" s="10">
        <v>45639</v>
      </c>
      <c r="C461" t="s">
        <v>24</v>
      </c>
      <c r="D461" t="s">
        <v>15</v>
      </c>
      <c r="E461">
        <v>6603.72</v>
      </c>
      <c r="F461">
        <v>5994.66</v>
      </c>
      <c r="G461" s="6">
        <v>55887</v>
      </c>
      <c r="H461" s="6">
        <v>1060</v>
      </c>
      <c r="I461" s="6">
        <v>202</v>
      </c>
      <c r="J461">
        <v>7633.28</v>
      </c>
      <c r="K461">
        <f t="shared" si="53"/>
        <v>0.0189668438098306</v>
      </c>
      <c r="L461">
        <f t="shared" si="59"/>
        <v>5.65533962264151</v>
      </c>
      <c r="M461">
        <f t="shared" si="54"/>
        <v>29.6765346534653</v>
      </c>
      <c r="N461">
        <f t="shared" si="55"/>
        <v>1.27334661181785</v>
      </c>
      <c r="O461">
        <f t="shared" si="56"/>
        <v>1638.62</v>
      </c>
      <c r="P461">
        <f t="shared" si="57"/>
        <v>0.214667875408736</v>
      </c>
      <c r="Q461" t="str">
        <f t="shared" si="58"/>
        <v>2024-12</v>
      </c>
    </row>
    <row r="462" spans="1:17">
      <c r="A462" t="s">
        <v>479</v>
      </c>
      <c r="B462" s="10">
        <v>45655</v>
      </c>
      <c r="C462" t="s">
        <v>11</v>
      </c>
      <c r="D462" t="s">
        <v>15</v>
      </c>
      <c r="E462">
        <v>4144.67</v>
      </c>
      <c r="F462">
        <v>3802.01</v>
      </c>
      <c r="G462" s="6">
        <v>111392</v>
      </c>
      <c r="H462" s="6">
        <v>4309</v>
      </c>
      <c r="I462" s="6">
        <v>82</v>
      </c>
      <c r="J462">
        <v>4024.75</v>
      </c>
      <c r="K462">
        <f t="shared" si="53"/>
        <v>0.0386832088480322</v>
      </c>
      <c r="L462">
        <f t="shared" si="59"/>
        <v>0.882341610582502</v>
      </c>
      <c r="M462">
        <f t="shared" si="54"/>
        <v>46.3659756097561</v>
      </c>
      <c r="N462">
        <f t="shared" si="55"/>
        <v>1.05858480119726</v>
      </c>
      <c r="O462">
        <f t="shared" si="56"/>
        <v>222.74</v>
      </c>
      <c r="P462">
        <f t="shared" si="57"/>
        <v>0.0553425678613578</v>
      </c>
      <c r="Q462" t="str">
        <f t="shared" si="58"/>
        <v>2024-12</v>
      </c>
    </row>
    <row r="463" spans="1:17">
      <c r="A463" t="s">
        <v>480</v>
      </c>
      <c r="B463" s="10">
        <v>45776</v>
      </c>
      <c r="C463" t="s">
        <v>24</v>
      </c>
      <c r="D463" t="s">
        <v>15</v>
      </c>
      <c r="E463">
        <v>4806.93</v>
      </c>
      <c r="F463">
        <v>4792.61</v>
      </c>
      <c r="G463" s="6">
        <v>127536</v>
      </c>
      <c r="H463" s="6">
        <v>1590</v>
      </c>
      <c r="I463" s="6">
        <v>273</v>
      </c>
      <c r="J463">
        <v>8123.31</v>
      </c>
      <c r="K463">
        <f t="shared" si="53"/>
        <v>0.012467068121942</v>
      </c>
      <c r="L463">
        <f t="shared" si="59"/>
        <v>3.01422012578616</v>
      </c>
      <c r="M463">
        <f t="shared" si="54"/>
        <v>17.555347985348</v>
      </c>
      <c r="N463">
        <f t="shared" si="55"/>
        <v>1.69496579108252</v>
      </c>
      <c r="O463">
        <f t="shared" si="56"/>
        <v>3330.7</v>
      </c>
      <c r="P463">
        <f t="shared" si="57"/>
        <v>0.410017591351309</v>
      </c>
      <c r="Q463" t="str">
        <f t="shared" si="58"/>
        <v>2025-04</v>
      </c>
    </row>
    <row r="464" spans="1:17">
      <c r="A464" t="s">
        <v>481</v>
      </c>
      <c r="B464" s="10">
        <v>45733</v>
      </c>
      <c r="C464" t="s">
        <v>22</v>
      </c>
      <c r="D464" t="s">
        <v>15</v>
      </c>
      <c r="E464">
        <v>8414.31</v>
      </c>
      <c r="F464">
        <v>7061.81</v>
      </c>
      <c r="G464" s="6">
        <v>72374</v>
      </c>
      <c r="H464" s="6">
        <v>1961</v>
      </c>
      <c r="I464" s="6">
        <v>102</v>
      </c>
      <c r="J464">
        <v>5007.65</v>
      </c>
      <c r="K464">
        <f t="shared" si="53"/>
        <v>0.0270953657390776</v>
      </c>
      <c r="L464">
        <f t="shared" si="59"/>
        <v>3.60112697603264</v>
      </c>
      <c r="M464">
        <f t="shared" si="54"/>
        <v>69.233431372549</v>
      </c>
      <c r="N464">
        <f t="shared" si="55"/>
        <v>0.709117067720598</v>
      </c>
      <c r="O464">
        <f t="shared" si="56"/>
        <v>-2054.16</v>
      </c>
      <c r="P464">
        <f t="shared" si="57"/>
        <v>-0.41020438728745</v>
      </c>
      <c r="Q464" t="str">
        <f t="shared" si="58"/>
        <v>2025-03</v>
      </c>
    </row>
    <row r="465" spans="1:17">
      <c r="A465" t="s">
        <v>482</v>
      </c>
      <c r="B465" s="10">
        <v>45736</v>
      </c>
      <c r="C465" t="s">
        <v>19</v>
      </c>
      <c r="D465" t="s">
        <v>17</v>
      </c>
      <c r="E465">
        <v>6176.53</v>
      </c>
      <c r="F465">
        <v>5378.62</v>
      </c>
      <c r="G465" s="6">
        <v>194426</v>
      </c>
      <c r="H465" s="6">
        <v>2729</v>
      </c>
      <c r="I465" s="6">
        <v>147</v>
      </c>
      <c r="J465">
        <v>3264.12</v>
      </c>
      <c r="K465">
        <f t="shared" si="53"/>
        <v>0.014036188575602</v>
      </c>
      <c r="L465">
        <f t="shared" si="59"/>
        <v>1.97091242213265</v>
      </c>
      <c r="M465">
        <f t="shared" si="54"/>
        <v>36.5892517006803</v>
      </c>
      <c r="N465">
        <f t="shared" si="55"/>
        <v>0.60686942003711</v>
      </c>
      <c r="O465">
        <f t="shared" si="56"/>
        <v>-2114.5</v>
      </c>
      <c r="P465">
        <f t="shared" si="57"/>
        <v>-0.64780093869098</v>
      </c>
      <c r="Q465" t="str">
        <f t="shared" si="58"/>
        <v>2025-03</v>
      </c>
    </row>
    <row r="466" spans="1:17">
      <c r="A466" t="s">
        <v>483</v>
      </c>
      <c r="B466" s="10">
        <v>45761</v>
      </c>
      <c r="C466" t="s">
        <v>22</v>
      </c>
      <c r="D466" t="s">
        <v>15</v>
      </c>
      <c r="E466">
        <v>4188.31</v>
      </c>
      <c r="F466">
        <v>4003.74</v>
      </c>
      <c r="G466" s="6">
        <v>63381</v>
      </c>
      <c r="H466" s="6">
        <v>1826</v>
      </c>
      <c r="I466" s="6">
        <v>231</v>
      </c>
      <c r="J466">
        <v>6955.43</v>
      </c>
      <c r="K466">
        <f t="shared" si="53"/>
        <v>0.0288098957100708</v>
      </c>
      <c r="L466">
        <f t="shared" si="59"/>
        <v>2.1926286966046</v>
      </c>
      <c r="M466">
        <f t="shared" si="54"/>
        <v>17.3322077922078</v>
      </c>
      <c r="N466">
        <f t="shared" si="55"/>
        <v>1.73723318697018</v>
      </c>
      <c r="O466">
        <f t="shared" si="56"/>
        <v>2951.69</v>
      </c>
      <c r="P466">
        <f t="shared" si="57"/>
        <v>0.424372037386617</v>
      </c>
      <c r="Q466" t="str">
        <f t="shared" si="58"/>
        <v>2025-04</v>
      </c>
    </row>
    <row r="467" spans="1:17">
      <c r="A467" t="s">
        <v>484</v>
      </c>
      <c r="B467" s="10">
        <v>45719</v>
      </c>
      <c r="C467" t="s">
        <v>24</v>
      </c>
      <c r="D467" t="s">
        <v>15</v>
      </c>
      <c r="E467">
        <v>8802.18</v>
      </c>
      <c r="F467">
        <v>8179.57</v>
      </c>
      <c r="G467" s="6">
        <v>109943</v>
      </c>
      <c r="H467" s="6">
        <v>4843</v>
      </c>
      <c r="I467" s="6">
        <v>579</v>
      </c>
      <c r="J467">
        <v>15900.17</v>
      </c>
      <c r="K467">
        <f t="shared" si="53"/>
        <v>0.0440500986875017</v>
      </c>
      <c r="L467">
        <f t="shared" si="59"/>
        <v>1.68894693371877</v>
      </c>
      <c r="M467">
        <f t="shared" si="54"/>
        <v>14.1270639032815</v>
      </c>
      <c r="N467">
        <f t="shared" si="55"/>
        <v>1.94388824840426</v>
      </c>
      <c r="O467">
        <f t="shared" si="56"/>
        <v>7720.6</v>
      </c>
      <c r="P467">
        <f t="shared" si="57"/>
        <v>0.485567135445722</v>
      </c>
      <c r="Q467" t="str">
        <f t="shared" si="58"/>
        <v>2025-03</v>
      </c>
    </row>
    <row r="468" spans="1:17">
      <c r="A468" t="s">
        <v>485</v>
      </c>
      <c r="B468" s="10">
        <v>45768</v>
      </c>
      <c r="C468" t="s">
        <v>22</v>
      </c>
      <c r="D468" t="s">
        <v>20</v>
      </c>
      <c r="E468">
        <v>7320.01</v>
      </c>
      <c r="F468">
        <v>7408.09</v>
      </c>
      <c r="G468" s="6">
        <v>142900</v>
      </c>
      <c r="H468" s="6">
        <v>3707</v>
      </c>
      <c r="I468" s="6">
        <v>151</v>
      </c>
      <c r="J468">
        <v>3776.7</v>
      </c>
      <c r="K468">
        <f t="shared" si="53"/>
        <v>0.0259412176347096</v>
      </c>
      <c r="L468">
        <f t="shared" si="59"/>
        <v>1.99840571891017</v>
      </c>
      <c r="M468">
        <f t="shared" si="54"/>
        <v>49.0601986754967</v>
      </c>
      <c r="N468">
        <f t="shared" si="55"/>
        <v>0.509807521236918</v>
      </c>
      <c r="O468">
        <f t="shared" si="56"/>
        <v>-3631.39</v>
      </c>
      <c r="P468">
        <f t="shared" si="57"/>
        <v>-0.961524611433262</v>
      </c>
      <c r="Q468" t="str">
        <f t="shared" si="58"/>
        <v>2025-04</v>
      </c>
    </row>
    <row r="469" spans="1:17">
      <c r="A469" t="s">
        <v>486</v>
      </c>
      <c r="B469" s="10">
        <v>45666</v>
      </c>
      <c r="C469" t="s">
        <v>22</v>
      </c>
      <c r="D469" t="s">
        <v>17</v>
      </c>
      <c r="E469">
        <v>4173.33</v>
      </c>
      <c r="F469">
        <v>3384.58</v>
      </c>
      <c r="G469" s="6">
        <v>197974</v>
      </c>
      <c r="H469" s="6">
        <v>4601</v>
      </c>
      <c r="I469" s="6">
        <v>675</v>
      </c>
      <c r="J469">
        <v>28412.14</v>
      </c>
      <c r="K469">
        <f t="shared" si="53"/>
        <v>0.0232404255104206</v>
      </c>
      <c r="L469">
        <f t="shared" si="59"/>
        <v>0.735618343838296</v>
      </c>
      <c r="M469">
        <f t="shared" si="54"/>
        <v>5.01419259259259</v>
      </c>
      <c r="N469">
        <f t="shared" si="55"/>
        <v>8.39458367064747</v>
      </c>
      <c r="O469">
        <f t="shared" si="56"/>
        <v>25027.56</v>
      </c>
      <c r="P469">
        <f t="shared" si="57"/>
        <v>0.880875569386889</v>
      </c>
      <c r="Q469" t="str">
        <f t="shared" si="58"/>
        <v>2025-01</v>
      </c>
    </row>
    <row r="470" spans="1:17">
      <c r="A470" t="s">
        <v>487</v>
      </c>
      <c r="B470" s="10">
        <v>45811</v>
      </c>
      <c r="C470" t="s">
        <v>11</v>
      </c>
      <c r="D470" t="s">
        <v>15</v>
      </c>
      <c r="E470">
        <v>7646.63</v>
      </c>
      <c r="F470">
        <v>7206.1</v>
      </c>
      <c r="G470" s="6">
        <v>102196</v>
      </c>
      <c r="H470" s="6">
        <v>4290</v>
      </c>
      <c r="I470" s="6">
        <v>391</v>
      </c>
      <c r="J470">
        <v>17722.12</v>
      </c>
      <c r="K470">
        <f t="shared" si="53"/>
        <v>0.0419781596148577</v>
      </c>
      <c r="L470">
        <f t="shared" si="59"/>
        <v>1.67974358974359</v>
      </c>
      <c r="M470">
        <f t="shared" si="54"/>
        <v>18.4299232736573</v>
      </c>
      <c r="N470">
        <f t="shared" si="55"/>
        <v>2.45932196333662</v>
      </c>
      <c r="O470">
        <f t="shared" si="56"/>
        <v>10516.02</v>
      </c>
      <c r="P470">
        <f t="shared" si="57"/>
        <v>0.593383861524468</v>
      </c>
      <c r="Q470" t="str">
        <f t="shared" si="58"/>
        <v>2025-06</v>
      </c>
    </row>
    <row r="471" spans="1:17">
      <c r="A471" t="s">
        <v>488</v>
      </c>
      <c r="B471" s="10">
        <v>45686</v>
      </c>
      <c r="C471" t="s">
        <v>11</v>
      </c>
      <c r="D471" t="s">
        <v>12</v>
      </c>
      <c r="E471">
        <v>8639.69</v>
      </c>
      <c r="F471">
        <v>8428.94</v>
      </c>
      <c r="G471" s="6">
        <v>72102</v>
      </c>
      <c r="H471" s="6">
        <v>2351</v>
      </c>
      <c r="I471" s="6">
        <v>159</v>
      </c>
      <c r="J471">
        <v>7321.65</v>
      </c>
      <c r="K471">
        <f t="shared" si="53"/>
        <v>0.0326065851155308</v>
      </c>
      <c r="L471">
        <f t="shared" si="59"/>
        <v>3.58525733730328</v>
      </c>
      <c r="M471">
        <f t="shared" si="54"/>
        <v>53.0122012578616</v>
      </c>
      <c r="N471">
        <f t="shared" si="55"/>
        <v>0.86863235472076</v>
      </c>
      <c r="O471">
        <f t="shared" si="56"/>
        <v>-1107.29</v>
      </c>
      <c r="P471">
        <f t="shared" si="57"/>
        <v>-0.151235035818429</v>
      </c>
      <c r="Q471" t="str">
        <f t="shared" si="58"/>
        <v>2025-01</v>
      </c>
    </row>
    <row r="472" spans="1:17">
      <c r="A472" t="s">
        <v>489</v>
      </c>
      <c r="B472" s="10">
        <v>45806</v>
      </c>
      <c r="C472" t="s">
        <v>11</v>
      </c>
      <c r="D472" t="s">
        <v>17</v>
      </c>
      <c r="E472">
        <v>4440.89</v>
      </c>
      <c r="F472">
        <v>3701.82</v>
      </c>
      <c r="G472" s="6">
        <v>138622</v>
      </c>
      <c r="H472" s="6">
        <v>4757</v>
      </c>
      <c r="I472" s="6">
        <v>629</v>
      </c>
      <c r="J472">
        <v>17670.18</v>
      </c>
      <c r="K472">
        <f t="shared" si="53"/>
        <v>0.0343163422833316</v>
      </c>
      <c r="L472">
        <f t="shared" si="59"/>
        <v>0.778183729241118</v>
      </c>
      <c r="M472">
        <f t="shared" si="54"/>
        <v>5.88524642289348</v>
      </c>
      <c r="N472">
        <f t="shared" si="55"/>
        <v>4.77337633920612</v>
      </c>
      <c r="O472">
        <f t="shared" si="56"/>
        <v>13968.36</v>
      </c>
      <c r="P472">
        <f t="shared" si="57"/>
        <v>0.790504680767259</v>
      </c>
      <c r="Q472" t="str">
        <f t="shared" si="58"/>
        <v>2025-05</v>
      </c>
    </row>
    <row r="473" spans="1:17">
      <c r="A473" t="s">
        <v>490</v>
      </c>
      <c r="B473" s="10">
        <v>45654</v>
      </c>
      <c r="C473" t="s">
        <v>24</v>
      </c>
      <c r="D473" t="s">
        <v>15</v>
      </c>
      <c r="E473">
        <v>3399.61</v>
      </c>
      <c r="F473">
        <v>3261.42</v>
      </c>
      <c r="G473" s="6">
        <v>75127</v>
      </c>
      <c r="H473" s="6">
        <v>3158</v>
      </c>
      <c r="I473" s="6">
        <v>620</v>
      </c>
      <c r="J473">
        <v>29820.87</v>
      </c>
      <c r="K473">
        <f t="shared" si="53"/>
        <v>0.0420354865760645</v>
      </c>
      <c r="L473">
        <f t="shared" si="59"/>
        <v>1.0327485750475</v>
      </c>
      <c r="M473">
        <f t="shared" si="54"/>
        <v>5.26035483870968</v>
      </c>
      <c r="N473">
        <f t="shared" si="55"/>
        <v>9.14352337325459</v>
      </c>
      <c r="O473">
        <f t="shared" si="56"/>
        <v>26559.45</v>
      </c>
      <c r="P473">
        <f t="shared" si="57"/>
        <v>0.89063296946065</v>
      </c>
      <c r="Q473" t="str">
        <f t="shared" si="58"/>
        <v>2024-12</v>
      </c>
    </row>
    <row r="474" spans="1:17">
      <c r="A474" t="s">
        <v>491</v>
      </c>
      <c r="B474" s="10">
        <v>45674</v>
      </c>
      <c r="C474" t="s">
        <v>22</v>
      </c>
      <c r="D474" t="s">
        <v>17</v>
      </c>
      <c r="E474">
        <v>3275.4</v>
      </c>
      <c r="F474">
        <v>2740.31</v>
      </c>
      <c r="G474" s="6">
        <v>65706</v>
      </c>
      <c r="H474" s="6">
        <v>3012</v>
      </c>
      <c r="I474" s="6">
        <v>475</v>
      </c>
      <c r="J474">
        <v>15943.84</v>
      </c>
      <c r="K474">
        <f t="shared" si="53"/>
        <v>0.0458405625057072</v>
      </c>
      <c r="L474">
        <f t="shared" si="59"/>
        <v>0.909797476759628</v>
      </c>
      <c r="M474">
        <f t="shared" si="54"/>
        <v>5.76907368421053</v>
      </c>
      <c r="N474">
        <f t="shared" si="55"/>
        <v>5.81826143757458</v>
      </c>
      <c r="O474">
        <f t="shared" si="56"/>
        <v>13203.53</v>
      </c>
      <c r="P474">
        <f t="shared" si="57"/>
        <v>0.828127352005539</v>
      </c>
      <c r="Q474" t="str">
        <f t="shared" si="58"/>
        <v>2025-01</v>
      </c>
    </row>
    <row r="475" spans="1:17">
      <c r="A475" t="s">
        <v>492</v>
      </c>
      <c r="B475" s="10">
        <v>45782</v>
      </c>
      <c r="C475" t="s">
        <v>24</v>
      </c>
      <c r="D475" t="s">
        <v>15</v>
      </c>
      <c r="E475">
        <v>9537.13</v>
      </c>
      <c r="F475">
        <v>8534.27</v>
      </c>
      <c r="G475" s="6">
        <v>59862</v>
      </c>
      <c r="H475" s="6">
        <v>2333</v>
      </c>
      <c r="I475" s="6">
        <v>272</v>
      </c>
      <c r="J475">
        <v>9579.04</v>
      </c>
      <c r="K475">
        <f t="shared" si="53"/>
        <v>0.0389729711670175</v>
      </c>
      <c r="L475">
        <f t="shared" si="59"/>
        <v>3.65806686669524</v>
      </c>
      <c r="M475">
        <f t="shared" si="54"/>
        <v>31.3759926470588</v>
      </c>
      <c r="N475">
        <f t="shared" si="55"/>
        <v>1.12242054680717</v>
      </c>
      <c r="O475">
        <f t="shared" si="56"/>
        <v>1044.77</v>
      </c>
      <c r="P475">
        <f t="shared" si="57"/>
        <v>0.109068340877583</v>
      </c>
      <c r="Q475" t="str">
        <f t="shared" si="58"/>
        <v>2025-05</v>
      </c>
    </row>
    <row r="476" spans="1:17">
      <c r="A476" t="s">
        <v>493</v>
      </c>
      <c r="B476" s="10">
        <v>45658</v>
      </c>
      <c r="C476" t="s">
        <v>22</v>
      </c>
      <c r="D476" t="s">
        <v>17</v>
      </c>
      <c r="E476">
        <v>3291.01</v>
      </c>
      <c r="F476">
        <v>2779.27</v>
      </c>
      <c r="G476" s="6">
        <v>74195</v>
      </c>
      <c r="H476" s="6">
        <v>2526</v>
      </c>
      <c r="I476" s="6">
        <v>392</v>
      </c>
      <c r="J476">
        <v>19442.77</v>
      </c>
      <c r="K476">
        <f t="shared" si="53"/>
        <v>0.0340454208504616</v>
      </c>
      <c r="L476">
        <f t="shared" si="59"/>
        <v>1.10026524148852</v>
      </c>
      <c r="M476">
        <f t="shared" si="54"/>
        <v>7.08997448979592</v>
      </c>
      <c r="N476">
        <f t="shared" si="55"/>
        <v>6.99563914265257</v>
      </c>
      <c r="O476">
        <f t="shared" si="56"/>
        <v>16663.5</v>
      </c>
      <c r="P476">
        <f t="shared" si="57"/>
        <v>0.8570538045762</v>
      </c>
      <c r="Q476" t="str">
        <f t="shared" si="58"/>
        <v>2025-01</v>
      </c>
    </row>
    <row r="477" spans="1:17">
      <c r="A477" t="s">
        <v>494</v>
      </c>
      <c r="B477" s="10">
        <v>45682</v>
      </c>
      <c r="C477" t="s">
        <v>24</v>
      </c>
      <c r="D477" t="s">
        <v>17</v>
      </c>
      <c r="E477">
        <v>9755.83</v>
      </c>
      <c r="F477">
        <v>7819.12</v>
      </c>
      <c r="G477" s="6">
        <v>175747</v>
      </c>
      <c r="H477" s="6">
        <v>7548</v>
      </c>
      <c r="I477" s="6">
        <v>1026</v>
      </c>
      <c r="J477">
        <v>49816.77</v>
      </c>
      <c r="K477">
        <f t="shared" si="53"/>
        <v>0.0429481015323163</v>
      </c>
      <c r="L477">
        <f t="shared" si="59"/>
        <v>1.03591944886063</v>
      </c>
      <c r="M477">
        <f t="shared" si="54"/>
        <v>7.6209746588694</v>
      </c>
      <c r="N477">
        <f t="shared" si="55"/>
        <v>6.37114790411197</v>
      </c>
      <c r="O477">
        <f t="shared" si="56"/>
        <v>41997.65</v>
      </c>
      <c r="P477">
        <f t="shared" si="57"/>
        <v>0.843042413227513</v>
      </c>
      <c r="Q477" t="str">
        <f t="shared" si="58"/>
        <v>2025-01</v>
      </c>
    </row>
    <row r="478" spans="1:17">
      <c r="A478" t="s">
        <v>495</v>
      </c>
      <c r="B478" s="10">
        <v>45684</v>
      </c>
      <c r="C478" t="s">
        <v>14</v>
      </c>
      <c r="D478" t="s">
        <v>20</v>
      </c>
      <c r="E478">
        <v>7473.84</v>
      </c>
      <c r="F478">
        <v>7925.08</v>
      </c>
      <c r="G478" s="6">
        <v>150368</v>
      </c>
      <c r="H478" s="6">
        <v>2680</v>
      </c>
      <c r="I478" s="6">
        <v>75</v>
      </c>
      <c r="J478">
        <v>2523.16</v>
      </c>
      <c r="K478">
        <f t="shared" si="53"/>
        <v>0.0178229410512875</v>
      </c>
      <c r="L478">
        <f t="shared" si="59"/>
        <v>2.95711940298507</v>
      </c>
      <c r="M478">
        <f t="shared" si="54"/>
        <v>105.667733333333</v>
      </c>
      <c r="N478">
        <f t="shared" si="55"/>
        <v>0.318376596829306</v>
      </c>
      <c r="O478">
        <f t="shared" si="56"/>
        <v>-5401.92</v>
      </c>
      <c r="P478">
        <f t="shared" si="57"/>
        <v>-2.14093438386785</v>
      </c>
      <c r="Q478" t="str">
        <f t="shared" si="58"/>
        <v>2025-01</v>
      </c>
    </row>
    <row r="479" spans="1:17">
      <c r="A479" t="s">
        <v>496</v>
      </c>
      <c r="B479" s="10">
        <v>45802</v>
      </c>
      <c r="C479" t="s">
        <v>22</v>
      </c>
      <c r="D479" t="s">
        <v>20</v>
      </c>
      <c r="E479">
        <v>6609.17</v>
      </c>
      <c r="F479">
        <v>6256.6</v>
      </c>
      <c r="G479" s="6">
        <v>199789</v>
      </c>
      <c r="H479" s="6">
        <v>2837</v>
      </c>
      <c r="I479" s="6">
        <v>387</v>
      </c>
      <c r="J479">
        <v>15482.29</v>
      </c>
      <c r="K479">
        <f t="shared" si="53"/>
        <v>0.0141999809799338</v>
      </c>
      <c r="L479">
        <f t="shared" si="59"/>
        <v>2.20535777229468</v>
      </c>
      <c r="M479">
        <f t="shared" si="54"/>
        <v>16.1669250645995</v>
      </c>
      <c r="N479">
        <f t="shared" si="55"/>
        <v>2.47455327174504</v>
      </c>
      <c r="O479">
        <f t="shared" si="56"/>
        <v>9225.69</v>
      </c>
      <c r="P479">
        <f t="shared" si="57"/>
        <v>0.595886655010338</v>
      </c>
      <c r="Q479" t="str">
        <f t="shared" si="58"/>
        <v>2025-05</v>
      </c>
    </row>
    <row r="480" spans="1:17">
      <c r="A480" t="s">
        <v>497</v>
      </c>
      <c r="B480" s="10">
        <v>45778</v>
      </c>
      <c r="C480" t="s">
        <v>24</v>
      </c>
      <c r="D480" t="s">
        <v>15</v>
      </c>
      <c r="E480">
        <v>3977.56</v>
      </c>
      <c r="F480">
        <v>3217.81</v>
      </c>
      <c r="G480" s="6">
        <v>183098</v>
      </c>
      <c r="H480" s="6">
        <v>3716</v>
      </c>
      <c r="I480" s="6">
        <v>153</v>
      </c>
      <c r="J480">
        <v>4473.4</v>
      </c>
      <c r="K480">
        <f t="shared" si="53"/>
        <v>0.0202951424919988</v>
      </c>
      <c r="L480">
        <f t="shared" si="59"/>
        <v>0.865933799784715</v>
      </c>
      <c r="M480">
        <f t="shared" si="54"/>
        <v>21.0314379084967</v>
      </c>
      <c r="N480">
        <f t="shared" si="55"/>
        <v>1.39020016719446</v>
      </c>
      <c r="O480">
        <f t="shared" si="56"/>
        <v>1255.59</v>
      </c>
      <c r="P480">
        <f t="shared" si="57"/>
        <v>0.280679125497384</v>
      </c>
      <c r="Q480" t="str">
        <f t="shared" si="58"/>
        <v>2025-05</v>
      </c>
    </row>
    <row r="481" spans="1:17">
      <c r="A481" t="s">
        <v>498</v>
      </c>
      <c r="B481" s="10">
        <v>45773</v>
      </c>
      <c r="C481" t="s">
        <v>11</v>
      </c>
      <c r="D481" t="s">
        <v>20</v>
      </c>
      <c r="E481">
        <v>7932.77</v>
      </c>
      <c r="F481">
        <v>6826.59</v>
      </c>
      <c r="G481" s="6">
        <v>170452</v>
      </c>
      <c r="H481" s="6">
        <v>8283</v>
      </c>
      <c r="I481" s="6">
        <v>370</v>
      </c>
      <c r="J481">
        <v>14875.1</v>
      </c>
      <c r="K481">
        <f t="shared" si="53"/>
        <v>0.0485943256752634</v>
      </c>
      <c r="L481">
        <f t="shared" si="59"/>
        <v>0.824168779427744</v>
      </c>
      <c r="M481">
        <f t="shared" si="54"/>
        <v>18.4502432432432</v>
      </c>
      <c r="N481">
        <f t="shared" si="55"/>
        <v>2.17899419768874</v>
      </c>
      <c r="O481">
        <f t="shared" si="56"/>
        <v>8048.51</v>
      </c>
      <c r="P481">
        <f t="shared" si="57"/>
        <v>0.541072665057714</v>
      </c>
      <c r="Q481" t="str">
        <f t="shared" si="58"/>
        <v>2025-04</v>
      </c>
    </row>
    <row r="482" spans="1:17">
      <c r="A482" t="s">
        <v>499</v>
      </c>
      <c r="B482" s="10">
        <v>45710</v>
      </c>
      <c r="C482" t="s">
        <v>14</v>
      </c>
      <c r="D482" t="s">
        <v>20</v>
      </c>
      <c r="E482">
        <v>9789.38</v>
      </c>
      <c r="F482">
        <v>8107.27</v>
      </c>
      <c r="G482" s="6">
        <v>118097</v>
      </c>
      <c r="H482" s="6">
        <v>1117</v>
      </c>
      <c r="I482" s="6">
        <v>118</v>
      </c>
      <c r="J482">
        <v>4741.01</v>
      </c>
      <c r="K482">
        <f t="shared" si="53"/>
        <v>0.00945832662980431</v>
      </c>
      <c r="L482">
        <f t="shared" si="59"/>
        <v>7.25807520143241</v>
      </c>
      <c r="M482">
        <f t="shared" si="54"/>
        <v>68.7056779661017</v>
      </c>
      <c r="N482">
        <f t="shared" si="55"/>
        <v>0.584785013944275</v>
      </c>
      <c r="O482">
        <f t="shared" si="56"/>
        <v>-3366.26</v>
      </c>
      <c r="P482">
        <f t="shared" si="57"/>
        <v>-0.710030141256821</v>
      </c>
      <c r="Q482" t="str">
        <f t="shared" si="58"/>
        <v>2025-02</v>
      </c>
    </row>
    <row r="483" spans="1:17">
      <c r="A483" t="s">
        <v>500</v>
      </c>
      <c r="B483" s="10">
        <v>45804</v>
      </c>
      <c r="C483" t="s">
        <v>11</v>
      </c>
      <c r="D483" t="s">
        <v>15</v>
      </c>
      <c r="E483">
        <v>6106.25</v>
      </c>
      <c r="F483">
        <v>6475.33</v>
      </c>
      <c r="G483" s="6">
        <v>115700</v>
      </c>
      <c r="H483" s="6">
        <v>2582</v>
      </c>
      <c r="I483" s="6">
        <v>147</v>
      </c>
      <c r="J483">
        <v>3721.23</v>
      </c>
      <c r="K483">
        <f t="shared" si="53"/>
        <v>0.0223163353500432</v>
      </c>
      <c r="L483">
        <f t="shared" si="59"/>
        <v>2.50787374128582</v>
      </c>
      <c r="M483">
        <f t="shared" si="54"/>
        <v>44.0498639455782</v>
      </c>
      <c r="N483">
        <f t="shared" si="55"/>
        <v>0.574678047296431</v>
      </c>
      <c r="O483">
        <f t="shared" si="56"/>
        <v>-2754.1</v>
      </c>
      <c r="P483">
        <f t="shared" si="57"/>
        <v>-0.740104750311053</v>
      </c>
      <c r="Q483" t="str">
        <f t="shared" si="58"/>
        <v>2025-05</v>
      </c>
    </row>
    <row r="484" spans="1:17">
      <c r="A484" t="s">
        <v>501</v>
      </c>
      <c r="B484" s="10">
        <v>45710</v>
      </c>
      <c r="C484" t="s">
        <v>19</v>
      </c>
      <c r="D484" t="s">
        <v>17</v>
      </c>
      <c r="E484">
        <v>7848.38</v>
      </c>
      <c r="F484">
        <v>8252.06</v>
      </c>
      <c r="G484" s="6">
        <v>55522</v>
      </c>
      <c r="H484" s="6">
        <v>2245</v>
      </c>
      <c r="I484" s="6">
        <v>185</v>
      </c>
      <c r="J484">
        <v>8942.61</v>
      </c>
      <c r="K484">
        <f t="shared" si="53"/>
        <v>0.0404344223911242</v>
      </c>
      <c r="L484">
        <f t="shared" si="59"/>
        <v>3.67575055679287</v>
      </c>
      <c r="M484">
        <f t="shared" si="54"/>
        <v>44.6057297297297</v>
      </c>
      <c r="N484">
        <f t="shared" si="55"/>
        <v>1.08368213512747</v>
      </c>
      <c r="O484">
        <f t="shared" si="56"/>
        <v>690.550000000001</v>
      </c>
      <c r="P484">
        <f t="shared" si="57"/>
        <v>0.0772201851584717</v>
      </c>
      <c r="Q484" t="str">
        <f t="shared" si="58"/>
        <v>2025-02</v>
      </c>
    </row>
    <row r="485" spans="1:17">
      <c r="A485" t="s">
        <v>502</v>
      </c>
      <c r="B485" s="10">
        <v>45775</v>
      </c>
      <c r="C485" t="s">
        <v>14</v>
      </c>
      <c r="D485" t="s">
        <v>15</v>
      </c>
      <c r="E485">
        <v>7782.74</v>
      </c>
      <c r="F485">
        <v>7387.01</v>
      </c>
      <c r="G485" s="6">
        <v>150531</v>
      </c>
      <c r="H485" s="6">
        <v>3586</v>
      </c>
      <c r="I485" s="6">
        <v>622</v>
      </c>
      <c r="J485">
        <v>23969.03</v>
      </c>
      <c r="K485">
        <f t="shared" si="53"/>
        <v>0.0238223355986475</v>
      </c>
      <c r="L485">
        <f t="shared" si="59"/>
        <v>2.05995817066369</v>
      </c>
      <c r="M485">
        <f t="shared" si="54"/>
        <v>11.8762218649518</v>
      </c>
      <c r="N485">
        <f t="shared" si="55"/>
        <v>3.24475396676057</v>
      </c>
      <c r="O485">
        <f t="shared" si="56"/>
        <v>16582.02</v>
      </c>
      <c r="P485">
        <f t="shared" si="57"/>
        <v>0.691810223442501</v>
      </c>
      <c r="Q485" t="str">
        <f t="shared" si="58"/>
        <v>2025-04</v>
      </c>
    </row>
    <row r="486" spans="1:17">
      <c r="A486" t="s">
        <v>503</v>
      </c>
      <c r="B486" s="10">
        <v>45752</v>
      </c>
      <c r="C486" t="s">
        <v>22</v>
      </c>
      <c r="D486" t="s">
        <v>15</v>
      </c>
      <c r="E486">
        <v>9082.33</v>
      </c>
      <c r="F486">
        <v>8820.6</v>
      </c>
      <c r="G486" s="6">
        <v>103488</v>
      </c>
      <c r="H486" s="6">
        <v>2459</v>
      </c>
      <c r="I486" s="6">
        <v>416</v>
      </c>
      <c r="J486">
        <v>8699.23</v>
      </c>
      <c r="K486">
        <f t="shared" si="53"/>
        <v>0.0237612090290662</v>
      </c>
      <c r="L486">
        <f t="shared" si="59"/>
        <v>3.58706791378609</v>
      </c>
      <c r="M486">
        <f t="shared" si="54"/>
        <v>21.2033653846154</v>
      </c>
      <c r="N486">
        <f t="shared" si="55"/>
        <v>0.986240165068136</v>
      </c>
      <c r="O486">
        <f t="shared" si="56"/>
        <v>-121.370000000001</v>
      </c>
      <c r="P486">
        <f t="shared" si="57"/>
        <v>-0.0139518095279698</v>
      </c>
      <c r="Q486" t="str">
        <f t="shared" si="58"/>
        <v>2025-04</v>
      </c>
    </row>
    <row r="487" spans="1:17">
      <c r="A487" t="s">
        <v>504</v>
      </c>
      <c r="B487" s="10">
        <v>45674</v>
      </c>
      <c r="C487" t="s">
        <v>24</v>
      </c>
      <c r="D487" t="s">
        <v>17</v>
      </c>
      <c r="E487">
        <v>9516.64</v>
      </c>
      <c r="F487">
        <v>9581.91</v>
      </c>
      <c r="G487" s="6">
        <v>84687</v>
      </c>
      <c r="H487" s="6">
        <v>2681</v>
      </c>
      <c r="I487" s="6">
        <v>448</v>
      </c>
      <c r="J487">
        <v>18052.34</v>
      </c>
      <c r="K487">
        <f t="shared" si="53"/>
        <v>0.0316577514848796</v>
      </c>
      <c r="L487">
        <f t="shared" si="59"/>
        <v>3.57400596792242</v>
      </c>
      <c r="M487">
        <f t="shared" si="54"/>
        <v>21.3881919642857</v>
      </c>
      <c r="N487">
        <f t="shared" si="55"/>
        <v>1.88400225007332</v>
      </c>
      <c r="O487">
        <f t="shared" si="56"/>
        <v>8470.43</v>
      </c>
      <c r="P487">
        <f t="shared" si="57"/>
        <v>0.469215071287157</v>
      </c>
      <c r="Q487" t="str">
        <f t="shared" si="58"/>
        <v>2025-01</v>
      </c>
    </row>
    <row r="488" spans="1:17">
      <c r="A488" t="s">
        <v>505</v>
      </c>
      <c r="B488" s="10">
        <v>45695</v>
      </c>
      <c r="C488" t="s">
        <v>24</v>
      </c>
      <c r="D488" t="s">
        <v>17</v>
      </c>
      <c r="E488">
        <v>4509.73</v>
      </c>
      <c r="F488">
        <v>4499.2</v>
      </c>
      <c r="G488" s="6">
        <v>147771</v>
      </c>
      <c r="H488" s="6">
        <v>5682</v>
      </c>
      <c r="I488" s="6">
        <v>699</v>
      </c>
      <c r="J488">
        <v>22239.34</v>
      </c>
      <c r="K488">
        <f t="shared" si="53"/>
        <v>0.0384513876200337</v>
      </c>
      <c r="L488">
        <f t="shared" si="59"/>
        <v>0.791833861316438</v>
      </c>
      <c r="M488">
        <f t="shared" si="54"/>
        <v>6.43662374821173</v>
      </c>
      <c r="N488">
        <f t="shared" si="55"/>
        <v>4.9429543029872</v>
      </c>
      <c r="O488">
        <f t="shared" si="56"/>
        <v>17740.14</v>
      </c>
      <c r="P488">
        <f t="shared" si="57"/>
        <v>0.797691837977206</v>
      </c>
      <c r="Q488" t="str">
        <f t="shared" si="58"/>
        <v>2025-02</v>
      </c>
    </row>
    <row r="489" spans="1:17">
      <c r="A489" t="s">
        <v>506</v>
      </c>
      <c r="B489" s="10">
        <v>45708</v>
      </c>
      <c r="C489" t="s">
        <v>11</v>
      </c>
      <c r="D489" t="s">
        <v>20</v>
      </c>
      <c r="E489">
        <v>7558.63</v>
      </c>
      <c r="F489">
        <v>6288.61</v>
      </c>
      <c r="G489" s="6">
        <v>112643</v>
      </c>
      <c r="H489" s="6">
        <v>4673</v>
      </c>
      <c r="I489" s="6">
        <v>506</v>
      </c>
      <c r="J489">
        <v>20106.09</v>
      </c>
      <c r="K489">
        <f t="shared" si="53"/>
        <v>0.041485045675275</v>
      </c>
      <c r="L489">
        <f t="shared" si="59"/>
        <v>1.34573293387545</v>
      </c>
      <c r="M489">
        <f t="shared" si="54"/>
        <v>12.4280830039526</v>
      </c>
      <c r="N489">
        <f t="shared" si="55"/>
        <v>3.19722323375118</v>
      </c>
      <c r="O489">
        <f t="shared" si="56"/>
        <v>13817.48</v>
      </c>
      <c r="P489">
        <f t="shared" si="57"/>
        <v>0.68722859591298</v>
      </c>
      <c r="Q489" t="str">
        <f t="shared" si="58"/>
        <v>2025-02</v>
      </c>
    </row>
    <row r="490" spans="1:17">
      <c r="A490" t="s">
        <v>507</v>
      </c>
      <c r="B490" s="10">
        <v>45680</v>
      </c>
      <c r="C490" t="s">
        <v>19</v>
      </c>
      <c r="D490" t="s">
        <v>17</v>
      </c>
      <c r="E490">
        <v>9995.9</v>
      </c>
      <c r="F490">
        <v>8141.3</v>
      </c>
      <c r="G490" s="6">
        <v>99483</v>
      </c>
      <c r="H490" s="6">
        <v>4587</v>
      </c>
      <c r="I490" s="6">
        <v>250</v>
      </c>
      <c r="J490">
        <v>12328.81</v>
      </c>
      <c r="K490">
        <f t="shared" si="53"/>
        <v>0.0461083803262869</v>
      </c>
      <c r="L490">
        <f t="shared" si="59"/>
        <v>1.77486374536734</v>
      </c>
      <c r="M490">
        <f t="shared" si="54"/>
        <v>32.5652</v>
      </c>
      <c r="N490">
        <f t="shared" si="55"/>
        <v>1.51435397295272</v>
      </c>
      <c r="O490">
        <f t="shared" si="56"/>
        <v>4187.51</v>
      </c>
      <c r="P490">
        <f t="shared" si="57"/>
        <v>0.339652407653293</v>
      </c>
      <c r="Q490" t="str">
        <f t="shared" si="58"/>
        <v>2025-01</v>
      </c>
    </row>
    <row r="491" spans="1:17">
      <c r="A491" t="s">
        <v>508</v>
      </c>
      <c r="B491" s="10">
        <v>45690</v>
      </c>
      <c r="C491" t="s">
        <v>22</v>
      </c>
      <c r="D491" t="s">
        <v>15</v>
      </c>
      <c r="E491">
        <v>5848.36</v>
      </c>
      <c r="F491">
        <v>6206.43</v>
      </c>
      <c r="G491" s="6">
        <v>166799</v>
      </c>
      <c r="H491" s="6">
        <v>6009</v>
      </c>
      <c r="I491" s="6">
        <v>332</v>
      </c>
      <c r="J491">
        <v>14432.56</v>
      </c>
      <c r="K491">
        <f t="shared" si="53"/>
        <v>0.0360253958357065</v>
      </c>
      <c r="L491">
        <f t="shared" si="59"/>
        <v>1.03285571642536</v>
      </c>
      <c r="M491">
        <f t="shared" si="54"/>
        <v>18.6940662650602</v>
      </c>
      <c r="N491">
        <f t="shared" si="55"/>
        <v>2.32542057189076</v>
      </c>
      <c r="O491">
        <f t="shared" si="56"/>
        <v>8226.13</v>
      </c>
      <c r="P491">
        <f t="shared" si="57"/>
        <v>0.569970261686076</v>
      </c>
      <c r="Q491" t="str">
        <f t="shared" si="58"/>
        <v>2025-02</v>
      </c>
    </row>
    <row r="492" spans="1:17">
      <c r="A492" t="s">
        <v>509</v>
      </c>
      <c r="B492" s="10">
        <v>45728</v>
      </c>
      <c r="C492" t="s">
        <v>22</v>
      </c>
      <c r="D492" t="s">
        <v>12</v>
      </c>
      <c r="E492">
        <v>6969.11</v>
      </c>
      <c r="F492">
        <v>7119.19</v>
      </c>
      <c r="G492" s="6">
        <v>64146</v>
      </c>
      <c r="H492" s="6">
        <v>2927</v>
      </c>
      <c r="I492" s="6">
        <v>300</v>
      </c>
      <c r="J492">
        <v>13906.64</v>
      </c>
      <c r="K492">
        <f t="shared" si="53"/>
        <v>0.0456302809216475</v>
      </c>
      <c r="L492">
        <f t="shared" si="59"/>
        <v>2.43224803553126</v>
      </c>
      <c r="M492">
        <f t="shared" si="54"/>
        <v>23.7306333333333</v>
      </c>
      <c r="N492">
        <f t="shared" si="55"/>
        <v>1.95340200219407</v>
      </c>
      <c r="O492">
        <f t="shared" si="56"/>
        <v>6787.45</v>
      </c>
      <c r="P492">
        <f t="shared" si="57"/>
        <v>0.488072604166067</v>
      </c>
      <c r="Q492" t="str">
        <f t="shared" si="58"/>
        <v>2025-03</v>
      </c>
    </row>
    <row r="493" spans="1:17">
      <c r="A493" t="s">
        <v>510</v>
      </c>
      <c r="B493" s="10">
        <v>45728</v>
      </c>
      <c r="C493" t="s">
        <v>24</v>
      </c>
      <c r="D493" t="s">
        <v>12</v>
      </c>
      <c r="E493">
        <v>5828.98</v>
      </c>
      <c r="F493">
        <v>5235.06</v>
      </c>
      <c r="G493" s="6">
        <v>165901</v>
      </c>
      <c r="H493" s="6">
        <v>3604</v>
      </c>
      <c r="I493" s="6">
        <v>431</v>
      </c>
      <c r="J493">
        <v>17251.98</v>
      </c>
      <c r="K493">
        <f t="shared" si="53"/>
        <v>0.021723799133218</v>
      </c>
      <c r="L493">
        <f t="shared" si="59"/>
        <v>1.45256936736959</v>
      </c>
      <c r="M493">
        <f t="shared" si="54"/>
        <v>12.1463109048724</v>
      </c>
      <c r="N493">
        <f t="shared" si="55"/>
        <v>3.29546939290094</v>
      </c>
      <c r="O493">
        <f t="shared" si="56"/>
        <v>12016.92</v>
      </c>
      <c r="P493">
        <f t="shared" si="57"/>
        <v>0.696553091297347</v>
      </c>
      <c r="Q493" t="str">
        <f t="shared" si="58"/>
        <v>2025-03</v>
      </c>
    </row>
    <row r="494" spans="1:17">
      <c r="A494" t="s">
        <v>511</v>
      </c>
      <c r="B494" s="10">
        <v>45776</v>
      </c>
      <c r="C494" t="s">
        <v>19</v>
      </c>
      <c r="D494" t="s">
        <v>12</v>
      </c>
      <c r="E494">
        <v>8654.92</v>
      </c>
      <c r="F494">
        <v>8903.19</v>
      </c>
      <c r="G494" s="6">
        <v>52359</v>
      </c>
      <c r="H494" s="6">
        <v>1523</v>
      </c>
      <c r="I494" s="6">
        <v>135</v>
      </c>
      <c r="J494">
        <v>5931.15</v>
      </c>
      <c r="K494">
        <f t="shared" si="53"/>
        <v>0.0290876449130044</v>
      </c>
      <c r="L494">
        <f t="shared" si="59"/>
        <v>5.84582403151674</v>
      </c>
      <c r="M494">
        <f t="shared" si="54"/>
        <v>65.9495555555556</v>
      </c>
      <c r="N494">
        <f t="shared" si="55"/>
        <v>0.66618257051686</v>
      </c>
      <c r="O494">
        <f t="shared" si="56"/>
        <v>-2972.04</v>
      </c>
      <c r="P494">
        <f t="shared" si="57"/>
        <v>-0.501090007839964</v>
      </c>
      <c r="Q494" t="str">
        <f t="shared" si="58"/>
        <v>2025-04</v>
      </c>
    </row>
    <row r="495" spans="1:17">
      <c r="A495" t="s">
        <v>512</v>
      </c>
      <c r="B495" s="10">
        <v>45799</v>
      </c>
      <c r="C495" t="s">
        <v>14</v>
      </c>
      <c r="D495" t="s">
        <v>12</v>
      </c>
      <c r="E495">
        <v>6049.08</v>
      </c>
      <c r="F495">
        <v>6323.41</v>
      </c>
      <c r="G495" s="6">
        <v>158601</v>
      </c>
      <c r="H495" s="6">
        <v>7199</v>
      </c>
      <c r="I495" s="6">
        <v>503</v>
      </c>
      <c r="J495">
        <v>11873.95</v>
      </c>
      <c r="K495">
        <f t="shared" si="53"/>
        <v>0.0453906343591781</v>
      </c>
      <c r="L495">
        <f t="shared" si="59"/>
        <v>0.878373385192388</v>
      </c>
      <c r="M495">
        <f t="shared" si="54"/>
        <v>12.5713916500994</v>
      </c>
      <c r="N495">
        <f t="shared" si="55"/>
        <v>1.87777638963787</v>
      </c>
      <c r="O495">
        <f t="shared" si="56"/>
        <v>5550.54</v>
      </c>
      <c r="P495">
        <f t="shared" si="57"/>
        <v>0.467455227620126</v>
      </c>
      <c r="Q495" t="str">
        <f t="shared" si="58"/>
        <v>2025-05</v>
      </c>
    </row>
    <row r="496" spans="1:17">
      <c r="A496" t="s">
        <v>513</v>
      </c>
      <c r="B496" s="10">
        <v>45698</v>
      </c>
      <c r="C496" t="s">
        <v>22</v>
      </c>
      <c r="D496" t="s">
        <v>17</v>
      </c>
      <c r="E496">
        <v>6811.42</v>
      </c>
      <c r="F496">
        <v>5460.9</v>
      </c>
      <c r="G496" s="6">
        <v>73610</v>
      </c>
      <c r="H496" s="6">
        <v>2346</v>
      </c>
      <c r="I496" s="6">
        <v>170</v>
      </c>
      <c r="J496">
        <v>5055.39</v>
      </c>
      <c r="K496">
        <f t="shared" si="53"/>
        <v>0.0318706697459584</v>
      </c>
      <c r="L496">
        <f t="shared" si="59"/>
        <v>2.32774936061381</v>
      </c>
      <c r="M496">
        <f t="shared" si="54"/>
        <v>32.1229411764706</v>
      </c>
      <c r="N496">
        <f t="shared" si="55"/>
        <v>0.925743009394056</v>
      </c>
      <c r="O496">
        <f t="shared" si="56"/>
        <v>-405.509999999999</v>
      </c>
      <c r="P496">
        <f t="shared" si="57"/>
        <v>-0.0802133959991216</v>
      </c>
      <c r="Q496" t="str">
        <f t="shared" si="58"/>
        <v>2025-02</v>
      </c>
    </row>
    <row r="497" spans="1:17">
      <c r="A497" t="s">
        <v>514</v>
      </c>
      <c r="B497" s="10">
        <v>45667</v>
      </c>
      <c r="C497" t="s">
        <v>22</v>
      </c>
      <c r="D497" t="s">
        <v>20</v>
      </c>
      <c r="E497">
        <v>5565.23</v>
      </c>
      <c r="F497">
        <v>5113.62</v>
      </c>
      <c r="G497" s="6">
        <v>67169</v>
      </c>
      <c r="H497" s="6">
        <v>1577</v>
      </c>
      <c r="I497" s="6">
        <v>305</v>
      </c>
      <c r="J497">
        <v>12463.52</v>
      </c>
      <c r="K497">
        <f t="shared" si="53"/>
        <v>0.0234780925724665</v>
      </c>
      <c r="L497">
        <f t="shared" si="59"/>
        <v>3.24262523779328</v>
      </c>
      <c r="M497">
        <f t="shared" si="54"/>
        <v>16.7659672131148</v>
      </c>
      <c r="N497">
        <f t="shared" si="55"/>
        <v>2.43731837719658</v>
      </c>
      <c r="O497">
        <f t="shared" si="56"/>
        <v>7349.9</v>
      </c>
      <c r="P497">
        <f t="shared" si="57"/>
        <v>0.589713018473112</v>
      </c>
      <c r="Q497" t="str">
        <f t="shared" si="58"/>
        <v>2025-01</v>
      </c>
    </row>
    <row r="498" spans="1:17">
      <c r="A498" t="s">
        <v>515</v>
      </c>
      <c r="B498" s="10">
        <v>45699</v>
      </c>
      <c r="C498" t="s">
        <v>24</v>
      </c>
      <c r="D498" t="s">
        <v>17</v>
      </c>
      <c r="E498">
        <v>5719.91</v>
      </c>
      <c r="F498">
        <v>5345.87</v>
      </c>
      <c r="G498" s="6">
        <v>152621</v>
      </c>
      <c r="H498" s="6">
        <v>2741</v>
      </c>
      <c r="I498" s="6">
        <v>345</v>
      </c>
      <c r="J498">
        <v>9358.58</v>
      </c>
      <c r="K498">
        <f t="shared" si="53"/>
        <v>0.0179595206426376</v>
      </c>
      <c r="L498">
        <f t="shared" si="59"/>
        <v>1.95033564392557</v>
      </c>
      <c r="M498">
        <f t="shared" si="54"/>
        <v>15.4952753623188</v>
      </c>
      <c r="N498">
        <f t="shared" si="55"/>
        <v>1.75061870191381</v>
      </c>
      <c r="O498">
        <f t="shared" si="56"/>
        <v>4012.71</v>
      </c>
      <c r="P498">
        <f t="shared" si="57"/>
        <v>0.428773382286629</v>
      </c>
      <c r="Q498" t="str">
        <f t="shared" si="58"/>
        <v>2025-02</v>
      </c>
    </row>
    <row r="499" spans="1:17">
      <c r="A499" t="s">
        <v>516</v>
      </c>
      <c r="B499" s="10">
        <v>45636</v>
      </c>
      <c r="C499" t="s">
        <v>14</v>
      </c>
      <c r="D499" t="s">
        <v>12</v>
      </c>
      <c r="E499">
        <v>5612.76</v>
      </c>
      <c r="F499">
        <v>4872.89</v>
      </c>
      <c r="G499" s="6">
        <v>107940</v>
      </c>
      <c r="H499" s="6">
        <v>2915</v>
      </c>
      <c r="I499" s="6">
        <v>150</v>
      </c>
      <c r="J499">
        <v>3329.38</v>
      </c>
      <c r="K499">
        <f t="shared" si="53"/>
        <v>0.027005743931814</v>
      </c>
      <c r="L499">
        <f t="shared" si="59"/>
        <v>1.67166037735849</v>
      </c>
      <c r="M499">
        <f t="shared" si="54"/>
        <v>32.4859333333333</v>
      </c>
      <c r="N499">
        <f t="shared" si="55"/>
        <v>0.683245466242825</v>
      </c>
      <c r="O499">
        <f t="shared" si="56"/>
        <v>-1543.51</v>
      </c>
      <c r="P499">
        <f t="shared" si="57"/>
        <v>-0.46360283295989</v>
      </c>
      <c r="Q499" t="str">
        <f t="shared" si="58"/>
        <v>2024-12</v>
      </c>
    </row>
    <row r="500" spans="1:17">
      <c r="A500" t="s">
        <v>517</v>
      </c>
      <c r="B500" s="10">
        <v>45779</v>
      </c>
      <c r="C500" t="s">
        <v>19</v>
      </c>
      <c r="D500" t="s">
        <v>15</v>
      </c>
      <c r="E500">
        <v>7224.14</v>
      </c>
      <c r="F500">
        <v>7227.49</v>
      </c>
      <c r="G500" s="6">
        <v>68836</v>
      </c>
      <c r="H500" s="6">
        <v>3169</v>
      </c>
      <c r="I500" s="6">
        <v>620</v>
      </c>
      <c r="J500">
        <v>23922.52</v>
      </c>
      <c r="K500">
        <f t="shared" si="53"/>
        <v>0.0460369574060085</v>
      </c>
      <c r="L500">
        <f t="shared" si="59"/>
        <v>2.28068475859893</v>
      </c>
      <c r="M500">
        <f t="shared" si="54"/>
        <v>11.6572419354839</v>
      </c>
      <c r="N500">
        <f t="shared" si="55"/>
        <v>3.30993470762326</v>
      </c>
      <c r="O500">
        <f t="shared" si="56"/>
        <v>16695.03</v>
      </c>
      <c r="P500">
        <f t="shared" si="57"/>
        <v>0.697879236802812</v>
      </c>
      <c r="Q500" t="str">
        <f t="shared" si="58"/>
        <v>2025-05</v>
      </c>
    </row>
    <row r="501" spans="1:17">
      <c r="A501" t="s">
        <v>518</v>
      </c>
      <c r="B501" s="10">
        <v>45771</v>
      </c>
      <c r="C501" t="s">
        <v>22</v>
      </c>
      <c r="D501" t="s">
        <v>12</v>
      </c>
      <c r="E501">
        <v>6244.46</v>
      </c>
      <c r="F501">
        <v>5707.04</v>
      </c>
      <c r="G501" s="6">
        <v>140338</v>
      </c>
      <c r="H501" s="6">
        <v>5296</v>
      </c>
      <c r="I501" s="6">
        <v>294</v>
      </c>
      <c r="J501">
        <v>13494.6</v>
      </c>
      <c r="K501">
        <f t="shared" si="53"/>
        <v>0.0377374624121763</v>
      </c>
      <c r="L501">
        <f t="shared" si="59"/>
        <v>1.07761329305136</v>
      </c>
      <c r="M501">
        <f t="shared" si="54"/>
        <v>19.4117006802721</v>
      </c>
      <c r="N501">
        <f t="shared" si="55"/>
        <v>2.36455325352547</v>
      </c>
      <c r="O501">
        <f t="shared" si="56"/>
        <v>7787.56</v>
      </c>
      <c r="P501">
        <f t="shared" si="57"/>
        <v>0.577087131148756</v>
      </c>
      <c r="Q501" t="str">
        <f t="shared" si="58"/>
        <v>2025-04</v>
      </c>
    </row>
    <row r="504" spans="1:17">
      <c r="F504">
        <f ca="1">SUM(F:F)</f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43"/>
  <sheetViews>
    <sheetView workbookViewId="0">
      <selection activeCell="H13" sqref="H13"/>
    </sheetView>
  </sheetViews>
  <sheetFormatPr defaultColWidth="8.88888888888889" defaultRowHeight="14.4"/>
  <cols>
    <col min="1" max="1" width="11.6666666666667"/>
    <col min="2" max="2" width="10.7777777777778" customWidth="1"/>
    <col min="3" max="3" width="15.6666666666667" customWidth="1"/>
    <col min="4" max="4" width="17.7777777777778" customWidth="1"/>
    <col min="5" max="5" width="12.1111111111111" customWidth="1"/>
    <col min="6" max="6" width="17.8888888888889" customWidth="1"/>
    <col min="7" max="7" width="12.1111111111111" customWidth="1"/>
    <col min="9" max="9" width="13.4444444444444" customWidth="1"/>
    <col min="10" max="10" width="17.6666666666667" customWidth="1"/>
    <col min="11" max="11" width="13.6666666666667" customWidth="1"/>
    <col min="12" max="12" width="17.8888888888889" customWidth="1"/>
  </cols>
  <sheetData>
    <row r="3" spans="2:12">
      <c r="B3" t="s">
        <v>2</v>
      </c>
      <c r="C3" t="s">
        <v>526</v>
      </c>
      <c r="D3" t="s">
        <v>527</v>
      </c>
      <c r="E3" t="s">
        <v>528</v>
      </c>
      <c r="F3" t="s">
        <v>529</v>
      </c>
      <c r="G3" t="s">
        <v>530</v>
      </c>
      <c r="I3" t="s">
        <v>531</v>
      </c>
      <c r="J3" t="s">
        <v>532</v>
      </c>
    </row>
    <row r="4" spans="2:12">
      <c r="B4" t="s">
        <v>14</v>
      </c>
      <c r="C4" s="3">
        <v>572200.11</v>
      </c>
      <c r="D4" s="3">
        <v>1285904.93</v>
      </c>
      <c r="E4" s="3">
        <v>713704.82</v>
      </c>
      <c r="F4" s="3">
        <v>35462</v>
      </c>
      <c r="G4" s="3">
        <v>231.413629061606</v>
      </c>
      <c r="I4" s="4" t="s">
        <v>14</v>
      </c>
      <c r="J4" s="3">
        <v>609756.67</v>
      </c>
    </row>
    <row r="5" spans="2:12">
      <c r="B5" t="s">
        <v>11</v>
      </c>
      <c r="C5" s="3">
        <v>637608.5</v>
      </c>
      <c r="D5" s="3">
        <v>1371874.68</v>
      </c>
      <c r="E5" s="3">
        <v>734266.18</v>
      </c>
      <c r="F5" s="3">
        <v>38479</v>
      </c>
      <c r="G5" s="3">
        <v>243.320249756956</v>
      </c>
      <c r="I5" s="4" t="s">
        <v>11</v>
      </c>
      <c r="J5" s="3">
        <v>658766.93</v>
      </c>
    </row>
    <row r="6" spans="2:12">
      <c r="B6" t="s">
        <v>24</v>
      </c>
      <c r="C6" s="3">
        <v>616798.73</v>
      </c>
      <c r="D6" s="3">
        <v>1413738</v>
      </c>
      <c r="E6" s="3">
        <v>796939.27</v>
      </c>
      <c r="F6" s="3">
        <v>39603</v>
      </c>
      <c r="G6" s="3">
        <v>247.527185897844</v>
      </c>
      <c r="I6" s="4" t="s">
        <v>24</v>
      </c>
      <c r="J6" s="3">
        <v>655972.1</v>
      </c>
    </row>
    <row r="7" spans="2:12">
      <c r="B7" t="s">
        <v>22</v>
      </c>
      <c r="C7" s="3">
        <v>652119.29</v>
      </c>
      <c r="D7" s="3">
        <v>1287791.22</v>
      </c>
      <c r="E7" s="3">
        <v>635671.93</v>
      </c>
      <c r="F7" s="3">
        <v>36570</v>
      </c>
      <c r="G7" s="3">
        <v>244.496519526852</v>
      </c>
      <c r="I7" s="4" t="s">
        <v>22</v>
      </c>
      <c r="J7" s="3">
        <v>689111.07</v>
      </c>
    </row>
    <row r="8" spans="2:12">
      <c r="B8" t="s">
        <v>19</v>
      </c>
      <c r="C8" s="3">
        <v>653781.56</v>
      </c>
      <c r="D8" s="3">
        <v>1193639.25</v>
      </c>
      <c r="E8" s="3">
        <v>539857.69</v>
      </c>
      <c r="F8" s="3">
        <v>34412</v>
      </c>
      <c r="G8" s="3">
        <v>215.530752595349</v>
      </c>
      <c r="I8" s="4" t="s">
        <v>19</v>
      </c>
      <c r="J8" s="3">
        <v>698066.24</v>
      </c>
    </row>
    <row r="9" spans="2:12">
      <c r="B9" t="s">
        <v>533</v>
      </c>
      <c r="C9" s="3">
        <v>3132508.19</v>
      </c>
      <c r="D9" s="3">
        <v>6552948.08</v>
      </c>
      <c r="E9" s="3">
        <v>3420439.89</v>
      </c>
      <c r="F9" s="3">
        <v>184526</v>
      </c>
      <c r="G9" s="3">
        <v>1182.28833683861</v>
      </c>
      <c r="I9" s="4" t="s">
        <v>533</v>
      </c>
      <c r="J9" s="3">
        <v>3311673.01</v>
      </c>
    </row>
    <row r="12" spans="2:12">
      <c r="B12" t="s">
        <v>3</v>
      </c>
      <c r="C12" t="s">
        <v>526</v>
      </c>
      <c r="D12" t="s">
        <v>527</v>
      </c>
      <c r="E12" t="s">
        <v>529</v>
      </c>
      <c r="F12" t="s">
        <v>528</v>
      </c>
    </row>
    <row r="13" spans="2:12">
      <c r="B13" t="s">
        <v>12</v>
      </c>
      <c r="C13" s="3">
        <v>711702.88</v>
      </c>
      <c r="D13" s="3">
        <v>1431093.31</v>
      </c>
      <c r="E13" s="3">
        <v>41460</v>
      </c>
      <c r="F13" s="3">
        <v>719390.43</v>
      </c>
      <c r="I13" s="5" t="s">
        <v>531</v>
      </c>
      <c r="J13" t="s">
        <v>534</v>
      </c>
      <c r="K13" t="s">
        <v>535</v>
      </c>
      <c r="L13" t="s">
        <v>529</v>
      </c>
    </row>
    <row r="14" spans="2:12">
      <c r="B14" t="s">
        <v>17</v>
      </c>
      <c r="C14" s="3">
        <v>838675.44</v>
      </c>
      <c r="D14" s="3">
        <v>1706679.86</v>
      </c>
      <c r="E14" s="3">
        <v>46771</v>
      </c>
      <c r="F14" s="3">
        <v>868004.42</v>
      </c>
      <c r="I14" s="4" t="s">
        <v>14</v>
      </c>
      <c r="J14" s="6">
        <v>11485286</v>
      </c>
      <c r="K14" s="6">
        <v>364158</v>
      </c>
      <c r="L14" s="6">
        <v>35462</v>
      </c>
    </row>
    <row r="15" spans="2:12">
      <c r="B15" t="s">
        <v>15</v>
      </c>
      <c r="C15" s="3">
        <v>771410.08</v>
      </c>
      <c r="D15" s="3">
        <v>1662610.72</v>
      </c>
      <c r="E15" s="3">
        <v>47588</v>
      </c>
      <c r="F15" s="3">
        <v>891200.64</v>
      </c>
      <c r="I15" s="4" t="s">
        <v>11</v>
      </c>
      <c r="J15" s="6">
        <v>12675605</v>
      </c>
      <c r="K15" s="6">
        <v>372405</v>
      </c>
      <c r="L15" s="6">
        <v>38479</v>
      </c>
    </row>
    <row r="16" spans="2:12">
      <c r="B16" t="s">
        <v>20</v>
      </c>
      <c r="C16" s="3">
        <v>810719.79</v>
      </c>
      <c r="D16" s="3">
        <v>1752564.19</v>
      </c>
      <c r="E16" s="3">
        <v>48707</v>
      </c>
      <c r="F16" s="3">
        <v>941844.4</v>
      </c>
      <c r="I16" s="4" t="s">
        <v>24</v>
      </c>
      <c r="J16" s="6">
        <v>12523498</v>
      </c>
      <c r="K16" s="6">
        <v>355886</v>
      </c>
      <c r="L16" s="6">
        <v>39603</v>
      </c>
    </row>
    <row r="17" spans="2:12">
      <c r="B17" t="s">
        <v>533</v>
      </c>
      <c r="C17" s="3">
        <v>3132508.19</v>
      </c>
      <c r="D17" s="3">
        <v>6552948.08</v>
      </c>
      <c r="E17" s="3">
        <v>184526</v>
      </c>
      <c r="F17" s="3">
        <v>3420439.89</v>
      </c>
      <c r="I17" s="4" t="s">
        <v>22</v>
      </c>
      <c r="J17" s="6">
        <v>12963171</v>
      </c>
      <c r="K17" s="6">
        <v>367535</v>
      </c>
      <c r="L17" s="6">
        <v>36570</v>
      </c>
    </row>
    <row r="18" spans="2:12">
      <c r="I18" s="4" t="s">
        <v>19</v>
      </c>
      <c r="J18" s="6">
        <v>12738507</v>
      </c>
      <c r="K18" s="6">
        <v>354137</v>
      </c>
      <c r="L18" s="6">
        <v>34412</v>
      </c>
    </row>
    <row r="19" spans="2:12">
      <c r="I19" s="4" t="s">
        <v>533</v>
      </c>
      <c r="J19" s="5">
        <v>62386067</v>
      </c>
      <c r="K19" s="5">
        <v>1814121</v>
      </c>
      <c r="L19" s="5">
        <v>184526</v>
      </c>
    </row>
    <row r="20" spans="2:12">
      <c r="B20" t="s">
        <v>525</v>
      </c>
      <c r="C20" t="s">
        <v>526</v>
      </c>
      <c r="D20" t="s">
        <v>527</v>
      </c>
    </row>
    <row r="21" spans="2:12">
      <c r="B21" t="s">
        <v>536</v>
      </c>
      <c r="C21" s="3">
        <v>387223.67</v>
      </c>
      <c r="D21" s="3">
        <v>669060.35</v>
      </c>
    </row>
    <row r="22" spans="2:12">
      <c r="B22" t="s">
        <v>537</v>
      </c>
      <c r="C22" s="3">
        <v>451320.34</v>
      </c>
      <c r="D22" s="3">
        <v>1049410.8</v>
      </c>
    </row>
    <row r="23" spans="2:12">
      <c r="B23" t="s">
        <v>538</v>
      </c>
      <c r="C23" s="3">
        <v>519247.21</v>
      </c>
      <c r="D23" s="3">
        <v>1178268.76</v>
      </c>
    </row>
    <row r="24" spans="2:12">
      <c r="B24" t="s">
        <v>539</v>
      </c>
      <c r="C24" s="3">
        <v>437450.39</v>
      </c>
      <c r="D24" s="3">
        <v>941547.01</v>
      </c>
    </row>
    <row r="25" spans="2:12">
      <c r="B25" t="s">
        <v>540</v>
      </c>
      <c r="C25" s="3">
        <v>649014.28</v>
      </c>
      <c r="D25" s="3">
        <v>1226839</v>
      </c>
    </row>
    <row r="26" spans="2:12">
      <c r="B26" t="s">
        <v>541</v>
      </c>
      <c r="C26" s="3">
        <v>558132.99</v>
      </c>
      <c r="D26" s="3">
        <v>1149303.78</v>
      </c>
    </row>
    <row r="27" spans="2:12">
      <c r="B27" t="s">
        <v>542</v>
      </c>
      <c r="C27" s="3">
        <v>130119.31</v>
      </c>
      <c r="D27" s="3">
        <v>338518.38</v>
      </c>
    </row>
    <row r="28" spans="2:12">
      <c r="B28" t="s">
        <v>533</v>
      </c>
      <c r="C28" s="3">
        <v>3132508.19</v>
      </c>
      <c r="D28" s="3">
        <v>6552948.08</v>
      </c>
    </row>
    <row r="30" spans="2:12">
      <c r="B30" t="s">
        <v>2</v>
      </c>
      <c r="C30" t="s">
        <v>530</v>
      </c>
      <c r="E30" s="7"/>
    </row>
    <row r="31" spans="2:12">
      <c r="B31" t="s">
        <v>14</v>
      </c>
      <c r="C31" s="3">
        <v>231.413629061606</v>
      </c>
      <c r="E31" t="str">
        <f t="shared" ref="E31:E36" si="0">IFERROR(VALUE(C31)/VALUE(D31),"")</f>
        <v/>
      </c>
    </row>
    <row r="32" spans="2:12">
      <c r="B32" t="s">
        <v>11</v>
      </c>
      <c r="C32" s="3">
        <v>243.320249756956</v>
      </c>
      <c r="E32" t="str">
        <f t="shared" si="0"/>
        <v/>
      </c>
    </row>
    <row r="33" spans="2:5">
      <c r="B33" t="s">
        <v>24</v>
      </c>
      <c r="C33" s="3">
        <v>247.527185897844</v>
      </c>
      <c r="E33" t="str">
        <f t="shared" si="0"/>
        <v/>
      </c>
    </row>
    <row r="34" spans="2:5">
      <c r="B34" t="s">
        <v>22</v>
      </c>
      <c r="C34" s="3">
        <v>244.496519526852</v>
      </c>
      <c r="E34" t="str">
        <f t="shared" si="0"/>
        <v/>
      </c>
    </row>
    <row r="35" spans="2:5">
      <c r="B35" t="s">
        <v>19</v>
      </c>
      <c r="C35" s="3">
        <v>215.530752595349</v>
      </c>
      <c r="E35" s="8" t="str">
        <f t="shared" si="0"/>
        <v/>
      </c>
    </row>
    <row r="36" spans="2:5">
      <c r="B36" t="s">
        <v>533</v>
      </c>
      <c r="C36" s="3">
        <v>1182.28833683861</v>
      </c>
      <c r="E36" s="9"/>
    </row>
    <row r="38" spans="2:5">
      <c r="B38" t="s">
        <v>3</v>
      </c>
      <c r="C38" t="s">
        <v>529</v>
      </c>
    </row>
    <row r="39" spans="2:5">
      <c r="B39" t="s">
        <v>12</v>
      </c>
      <c r="C39" s="3">
        <v>41460</v>
      </c>
    </row>
    <row r="40" spans="2:5">
      <c r="B40" t="s">
        <v>17</v>
      </c>
      <c r="C40" s="3">
        <v>46771</v>
      </c>
    </row>
    <row r="41" spans="2:5">
      <c r="B41" t="s">
        <v>15</v>
      </c>
      <c r="C41" s="3">
        <v>47588</v>
      </c>
    </row>
    <row r="42" spans="2:5">
      <c r="B42" t="s">
        <v>20</v>
      </c>
      <c r="C42" s="3">
        <v>48707</v>
      </c>
    </row>
    <row r="43" spans="2:5">
      <c r="B43" t="s">
        <v>533</v>
      </c>
      <c r="C43" s="3">
        <v>184526</v>
      </c>
    </row>
  </sheetData>
  <pageMargins left="0.75" right="0.75" top="1" bottom="1" header="0.5" footer="0.5"/>
  <pageSetup paperSize="1" orientation="portrait"/>
  <headerFooter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7:C10"/>
  <sheetViews>
    <sheetView showGridLines="0" showRowColHeaders="0" tabSelected="1" zoomScale="79" zoomScaleNormal="79" showRuler="0" workbookViewId="0">
      <selection activeCell="S26" sqref="S26"/>
    </sheetView>
  </sheetViews>
  <sheetFormatPr defaultColWidth="8.88888888888889" defaultRowHeight="14.4" outlineLevelCol="2"/>
  <cols>
    <col min="1" max="1" width="11.5555555555556" customWidth="1"/>
  </cols>
  <sheetData>
    <row r="7" spans="1:3">
      <c r="C7" s="1"/>
    </row>
    <row r="10" spans="1:3">
      <c r="A10" s="2"/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PivoteTables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2025-06-11T15:04:00Z</dcterms:created>
  <dcterms:modified xsi:type="dcterms:W3CDTF">2026-10-07T09:45:42Z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96ECFB09DA48401DB5DAD9713FCE6DB8_12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